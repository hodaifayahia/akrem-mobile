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ملفات العمل\"/>
    </mc:Choice>
  </mc:AlternateContent>
  <xr:revisionPtr revIDLastSave="0" documentId="13_ncr:1_{FBEC444F-B17B-486F-807B-3822B2B3B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تقسيط" sheetId="1" r:id="rId1"/>
  </sheets>
  <calcPr calcId="181029"/>
</workbook>
</file>

<file path=xl/calcChain.xml><?xml version="1.0" encoding="utf-8"?>
<calcChain xmlns="http://schemas.openxmlformats.org/spreadsheetml/2006/main">
  <c r="M23" i="1" l="1"/>
  <c r="J87" i="1"/>
  <c r="J86" i="1"/>
  <c r="J85" i="1"/>
  <c r="J84" i="1"/>
  <c r="J83" i="1"/>
  <c r="K87" i="1"/>
  <c r="K86" i="1"/>
  <c r="K85" i="1"/>
  <c r="K84" i="1"/>
  <c r="M88" i="1"/>
  <c r="G88" i="1"/>
  <c r="J88" i="1" s="1"/>
  <c r="K88" i="1" l="1"/>
  <c r="Q85" i="1"/>
  <c r="M83" i="1" l="1"/>
  <c r="G83" i="1"/>
  <c r="K83" i="1" s="1"/>
  <c r="Q52" i="1" l="1"/>
  <c r="Q51" i="1"/>
  <c r="Q50" i="1"/>
  <c r="Q49" i="1"/>
  <c r="Q48" i="1"/>
  <c r="Q47" i="1"/>
  <c r="Q46" i="1"/>
  <c r="Q45" i="1"/>
  <c r="Q44" i="1"/>
  <c r="Q43" i="1"/>
  <c r="J82" i="1"/>
  <c r="M82" i="1"/>
  <c r="G82" i="1"/>
  <c r="K82" i="1" s="1"/>
  <c r="K81" i="1" l="1"/>
  <c r="G81" i="1" l="1"/>
  <c r="M80" i="1"/>
  <c r="M79" i="1"/>
  <c r="G80" i="1"/>
  <c r="K80" i="1" s="1"/>
  <c r="G79" i="1"/>
  <c r="K79" i="1" s="1"/>
  <c r="J79" i="1"/>
  <c r="J77" i="1"/>
  <c r="J78" i="1"/>
  <c r="J76" i="1"/>
  <c r="M77" i="1"/>
  <c r="M78" i="1"/>
  <c r="M76" i="1"/>
  <c r="M75" i="1"/>
  <c r="K78" i="1"/>
  <c r="K77" i="1"/>
  <c r="K76" i="1"/>
  <c r="K75" i="1"/>
  <c r="J75" i="1"/>
  <c r="G78" i="1"/>
  <c r="G77" i="1"/>
  <c r="G76" i="1"/>
  <c r="G75" i="1"/>
  <c r="J68" i="1"/>
  <c r="G68" i="1"/>
  <c r="K68" i="1" s="1"/>
  <c r="J80" i="1" l="1"/>
  <c r="M71" i="1"/>
  <c r="M72" i="1"/>
  <c r="M73" i="1"/>
  <c r="K73" i="1"/>
  <c r="J73" i="1"/>
  <c r="G73" i="1"/>
  <c r="N2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N22" i="1"/>
  <c r="M74" i="1" l="1"/>
  <c r="G74" i="1"/>
  <c r="K74" i="1" s="1"/>
  <c r="J74" i="1" l="1"/>
  <c r="M69" i="1"/>
  <c r="G69" i="1"/>
  <c r="J69" i="1" s="1"/>
  <c r="K72" i="1"/>
  <c r="J72" i="1"/>
  <c r="G72" i="1"/>
  <c r="M70" i="1"/>
  <c r="M68" i="1"/>
  <c r="K69" i="1" l="1"/>
  <c r="M67" i="1"/>
  <c r="G67" i="1"/>
  <c r="J67" i="1" s="1"/>
  <c r="M66" i="1"/>
  <c r="G66" i="1"/>
  <c r="K66" i="1" s="1"/>
  <c r="Q66" i="1"/>
  <c r="M61" i="1"/>
  <c r="M60" i="1"/>
  <c r="M65" i="1"/>
  <c r="M64" i="1"/>
  <c r="M63" i="1"/>
  <c r="K67" i="1" l="1"/>
  <c r="J66" i="1"/>
  <c r="G65" i="1"/>
  <c r="J65" i="1" s="1"/>
  <c r="Q65" i="1"/>
  <c r="G64" i="1"/>
  <c r="K64" i="1" s="1"/>
  <c r="G63" i="1"/>
  <c r="J63" i="1" s="1"/>
  <c r="Q64" i="1"/>
  <c r="Q63" i="1"/>
  <c r="K65" i="1" l="1"/>
  <c r="J64" i="1"/>
  <c r="K63" i="1"/>
  <c r="M62" i="1"/>
  <c r="G62" i="1"/>
  <c r="K62" i="1" s="1"/>
  <c r="Q62" i="1"/>
  <c r="Q61" i="1"/>
  <c r="G60" i="1"/>
  <c r="K60" i="1" s="1"/>
  <c r="J60" i="1"/>
  <c r="Q60" i="1"/>
  <c r="Q59" i="1"/>
  <c r="Q58" i="1"/>
  <c r="Q57" i="1"/>
  <c r="Q56" i="1"/>
  <c r="Q55" i="1"/>
  <c r="Q53" i="1"/>
  <c r="J62" i="1" l="1"/>
  <c r="Q54" i="1"/>
  <c r="M43" i="1" l="1"/>
  <c r="G43" i="1"/>
  <c r="K43" i="1" s="1"/>
  <c r="M42" i="1"/>
  <c r="J42" i="1"/>
  <c r="G42" i="1"/>
  <c r="K42" i="1" s="1"/>
  <c r="M41" i="1"/>
  <c r="G41" i="1"/>
  <c r="K41" i="1" s="1"/>
  <c r="M40" i="1"/>
  <c r="G40" i="1"/>
  <c r="K40" i="1" s="1"/>
  <c r="J41" i="1" l="1"/>
  <c r="J43" i="1"/>
  <c r="J40" i="1"/>
  <c r="Q39" i="1"/>
  <c r="Q38" i="1"/>
  <c r="Q42" i="1"/>
  <c r="Q41" i="1"/>
  <c r="Q40" i="1"/>
  <c r="Q37" i="1"/>
  <c r="Q36" i="1"/>
  <c r="Q35" i="1" l="1"/>
  <c r="Q34" i="1"/>
  <c r="Q33" i="1"/>
  <c r="Q32" i="1" l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G59" i="1"/>
  <c r="K59" i="1" s="1"/>
  <c r="G58" i="1"/>
  <c r="K58" i="1" s="1"/>
  <c r="G57" i="1"/>
  <c r="K57" i="1" s="1"/>
  <c r="G56" i="1"/>
  <c r="K56" i="1" s="1"/>
  <c r="G55" i="1"/>
  <c r="K55" i="1" s="1"/>
  <c r="G54" i="1"/>
  <c r="K54" i="1" s="1"/>
  <c r="G53" i="1"/>
  <c r="K53" i="1" s="1"/>
  <c r="G52" i="1"/>
  <c r="K52" i="1" s="1"/>
  <c r="G51" i="1"/>
  <c r="K51" i="1" s="1"/>
  <c r="G50" i="1"/>
  <c r="K50" i="1" s="1"/>
  <c r="G49" i="1"/>
  <c r="K49" i="1" s="1"/>
  <c r="G48" i="1"/>
  <c r="K48" i="1" s="1"/>
  <c r="G47" i="1"/>
  <c r="K47" i="1" s="1"/>
  <c r="G46" i="1"/>
  <c r="K46" i="1" s="1"/>
  <c r="G45" i="1"/>
  <c r="K45" i="1" s="1"/>
  <c r="G44" i="1"/>
  <c r="K44" i="1" s="1"/>
  <c r="G39" i="1"/>
  <c r="K39" i="1" s="1"/>
  <c r="G38" i="1"/>
  <c r="K38" i="1" s="1"/>
  <c r="G37" i="1"/>
  <c r="K37" i="1" s="1"/>
  <c r="G36" i="1"/>
  <c r="K36" i="1" s="1"/>
  <c r="G35" i="1"/>
  <c r="K35" i="1" s="1"/>
  <c r="G34" i="1"/>
  <c r="K34" i="1" s="1"/>
  <c r="G33" i="1"/>
  <c r="K33" i="1" s="1"/>
  <c r="G32" i="1"/>
  <c r="K32" i="1" s="1"/>
  <c r="G31" i="1"/>
  <c r="K31" i="1" s="1"/>
  <c r="G30" i="1"/>
  <c r="K30" i="1" s="1"/>
  <c r="G29" i="1"/>
  <c r="K29" i="1" s="1"/>
  <c r="G28" i="1"/>
  <c r="K28" i="1" s="1"/>
  <c r="G27" i="1"/>
  <c r="K27" i="1" s="1"/>
  <c r="G26" i="1"/>
  <c r="K26" i="1" s="1"/>
  <c r="G25" i="1"/>
  <c r="K25" i="1" s="1"/>
  <c r="G24" i="1"/>
  <c r="K24" i="1" s="1"/>
  <c r="G23" i="1"/>
  <c r="K23" i="1" s="1"/>
  <c r="G22" i="1"/>
  <c r="K22" i="1" s="1"/>
  <c r="G21" i="1"/>
  <c r="K21" i="1" s="1"/>
  <c r="G20" i="1"/>
  <c r="K20" i="1" s="1"/>
  <c r="G19" i="1"/>
  <c r="K19" i="1" s="1"/>
  <c r="G18" i="1"/>
  <c r="K18" i="1" s="1"/>
  <c r="G17" i="1"/>
  <c r="K17" i="1" s="1"/>
  <c r="G16" i="1"/>
  <c r="K16" i="1" s="1"/>
  <c r="G15" i="1"/>
  <c r="K15" i="1" s="1"/>
  <c r="G14" i="1"/>
  <c r="K14" i="1" s="1"/>
  <c r="G13" i="1"/>
  <c r="K13" i="1" s="1"/>
  <c r="G12" i="1"/>
  <c r="K12" i="1" s="1"/>
  <c r="G11" i="1"/>
  <c r="K11" i="1" s="1"/>
  <c r="G10" i="1"/>
  <c r="K10" i="1" s="1"/>
  <c r="G9" i="1"/>
  <c r="K9" i="1" s="1"/>
  <c r="G8" i="1"/>
  <c r="K8" i="1" s="1"/>
  <c r="G7" i="1"/>
  <c r="K7" i="1" s="1"/>
  <c r="G6" i="1"/>
  <c r="K6" i="1" s="1"/>
  <c r="G5" i="1"/>
  <c r="K5" i="1" s="1"/>
  <c r="G4" i="1"/>
  <c r="K4" i="1" s="1"/>
  <c r="G3" i="1"/>
  <c r="K3" i="1" s="1"/>
  <c r="G2" i="1"/>
  <c r="K2" i="1" s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39" i="1"/>
  <c r="M38" i="1"/>
  <c r="M37" i="1"/>
  <c r="M36" i="1"/>
  <c r="M35" i="1"/>
  <c r="M34" i="1"/>
  <c r="M33" i="1"/>
  <c r="M32" i="1"/>
  <c r="M31" i="1"/>
  <c r="M29" i="1"/>
  <c r="M28" i="1"/>
  <c r="M27" i="1"/>
  <c r="M26" i="1"/>
  <c r="M25" i="1"/>
  <c r="M24" i="1"/>
  <c r="M21" i="1"/>
  <c r="M20" i="1"/>
  <c r="M19" i="1"/>
  <c r="M18" i="1"/>
  <c r="M16" i="1"/>
  <c r="M15" i="1"/>
  <c r="M14" i="1"/>
  <c r="M13" i="1"/>
  <c r="M11" i="1"/>
  <c r="M9" i="1"/>
  <c r="M8" i="1"/>
  <c r="M7" i="1"/>
  <c r="M5" i="1"/>
  <c r="M4" i="1"/>
  <c r="M3" i="1"/>
  <c r="M2" i="1"/>
  <c r="M6" i="1"/>
  <c r="N6" i="1" l="1" a="1"/>
  <c r="N6" i="1" s="1"/>
  <c r="J2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39" i="1"/>
  <c r="J38" i="1"/>
  <c r="J37" i="1"/>
  <c r="J36" i="1"/>
  <c r="J35" i="1"/>
  <c r="J34" i="1"/>
  <c r="J33" i="1"/>
  <c r="J32" i="1"/>
  <c r="J31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N18" i="1" l="1"/>
  <c r="J30" i="1"/>
  <c r="J6" i="1"/>
  <c r="J3" i="1"/>
  <c r="J4" i="1"/>
  <c r="N14" i="1" s="1"/>
  <c r="J5" i="1"/>
  <c r="N10" i="1" l="1"/>
</calcChain>
</file>

<file path=xl/sharedStrings.xml><?xml version="1.0" encoding="utf-8"?>
<sst xmlns="http://schemas.openxmlformats.org/spreadsheetml/2006/main" count="282" uniqueCount="169">
  <si>
    <t>الاسم واللقب</t>
  </si>
  <si>
    <t>تاريخ شراء المنتج</t>
  </si>
  <si>
    <t>تاريخ انتهاء الاقتطاع</t>
  </si>
  <si>
    <t>الاقتطاع الشهري</t>
  </si>
  <si>
    <t>نسبة التقسيط</t>
  </si>
  <si>
    <t>عدد أشهر التقسيط</t>
  </si>
  <si>
    <t>الفائدة</t>
  </si>
  <si>
    <t>المنتج</t>
  </si>
  <si>
    <t>سعر الكاش</t>
  </si>
  <si>
    <t xml:space="preserve">سعر البيع </t>
  </si>
  <si>
    <t>الدفعة الأولية</t>
  </si>
  <si>
    <t>سعر الجملة</t>
  </si>
  <si>
    <t>مجموع السلعة بالجملة</t>
  </si>
  <si>
    <t>مجموع إقتطاعات الشهرية النشطة</t>
  </si>
  <si>
    <t>التصنيف</t>
  </si>
  <si>
    <t>مجموع فوائد السلعة كاملة</t>
  </si>
  <si>
    <t>مجموع الفوائد الشهرية النشطة</t>
  </si>
  <si>
    <t>ليلى خليفي</t>
  </si>
  <si>
    <t xml:space="preserve">A17 6/128 </t>
  </si>
  <si>
    <t>XPAD 20 4/128</t>
  </si>
  <si>
    <t>بالتقسيط</t>
  </si>
  <si>
    <t>لحسن جودي</t>
  </si>
  <si>
    <t>Honor 100 Pro 12/256</t>
  </si>
  <si>
    <t>علاء البار</t>
  </si>
  <si>
    <t>MOTO Nova 1000w</t>
  </si>
  <si>
    <t>كايطا</t>
  </si>
  <si>
    <t>Yoga 11E 4/128</t>
  </si>
  <si>
    <t>كاش</t>
  </si>
  <si>
    <t>ليلى بوزيد</t>
  </si>
  <si>
    <t>A07 4/64</t>
  </si>
  <si>
    <t xml:space="preserve">كايطا </t>
  </si>
  <si>
    <t>لبار عبدربه</t>
  </si>
  <si>
    <t>جمال عباضلي</t>
  </si>
  <si>
    <t>اول واحد</t>
  </si>
  <si>
    <t>عنتر سعيد</t>
  </si>
  <si>
    <t>حسام خليفي</t>
  </si>
  <si>
    <t>IP 13PM 2 90%</t>
  </si>
  <si>
    <t>Realme Note 60x 4/128</t>
  </si>
  <si>
    <t>كريم جلال</t>
  </si>
  <si>
    <t>IP 8 PLUS</t>
  </si>
  <si>
    <t>جلال معاذ</t>
  </si>
  <si>
    <t>ONEPLUS 11R</t>
  </si>
  <si>
    <t>فاروق جنيدي</t>
  </si>
  <si>
    <t>SAMSUNG A26 5G 6/128</t>
  </si>
  <si>
    <t>لطيف صماري</t>
  </si>
  <si>
    <t>Honor x50 12/256</t>
  </si>
  <si>
    <t>زواوي صماري</t>
  </si>
  <si>
    <t>Realme Note 70 4/128</t>
  </si>
  <si>
    <t>لياس بكاري</t>
  </si>
  <si>
    <t>أحمد ميهوبي</t>
  </si>
  <si>
    <t>One Plus 6T 12/256</t>
  </si>
  <si>
    <t>Honor x50 / x70</t>
  </si>
  <si>
    <t>نضال سعيد</t>
  </si>
  <si>
    <t>ONEPLUS 13R</t>
  </si>
  <si>
    <t>رؤوف درام</t>
  </si>
  <si>
    <t>علاء برجوح</t>
  </si>
  <si>
    <t>رحاب كريكب</t>
  </si>
  <si>
    <t>Realm C53</t>
  </si>
  <si>
    <t>MOTO 800W</t>
  </si>
  <si>
    <t>رمزي هبال</t>
  </si>
  <si>
    <t>MOTO 1000W</t>
  </si>
  <si>
    <t>باري خليلي</t>
  </si>
  <si>
    <t>13PM</t>
  </si>
  <si>
    <t>صهيب حملاوي</t>
  </si>
  <si>
    <t>16PM</t>
  </si>
  <si>
    <t>كريدي</t>
  </si>
  <si>
    <t>One Plus 13</t>
  </si>
  <si>
    <t>إجمالي الإقتطاعات المتبقية النشطة</t>
  </si>
  <si>
    <t>Realme C75X</t>
  </si>
  <si>
    <t>X</t>
  </si>
  <si>
    <t>SAMSUNG A17 6/128</t>
  </si>
  <si>
    <t>صقر لحرش</t>
  </si>
  <si>
    <t>Realme GT Neo7</t>
  </si>
  <si>
    <t>زواد صاحب نبيل فلاح</t>
  </si>
  <si>
    <t>حر أحمد</t>
  </si>
  <si>
    <t>SAMSUNG A06 6/128</t>
  </si>
  <si>
    <t>محي الدين لعابد</t>
  </si>
  <si>
    <t>X9D</t>
  </si>
  <si>
    <t>إسلام لوبادي</t>
  </si>
  <si>
    <t>ITEL A50</t>
  </si>
  <si>
    <t>دحا لعمري</t>
  </si>
  <si>
    <t>نوري هيشار</t>
  </si>
  <si>
    <t>أم معاذ جلال</t>
  </si>
  <si>
    <t>ITEL A80</t>
  </si>
  <si>
    <t>Realme C85 8/256</t>
  </si>
  <si>
    <t>ادريس نعمي</t>
  </si>
  <si>
    <t>Realme 60X</t>
  </si>
  <si>
    <t>عمار عبدربه</t>
  </si>
  <si>
    <t>Honor X50 Pro 12/256</t>
  </si>
  <si>
    <t>زينو برجوح</t>
  </si>
  <si>
    <t>عيسى لعابد</t>
  </si>
  <si>
    <t>OPPO A58 5G 12/256</t>
  </si>
  <si>
    <t>مجموع السعر</t>
  </si>
  <si>
    <t>OPPO A5X 4/128</t>
  </si>
  <si>
    <t>جواد خيرواني</t>
  </si>
  <si>
    <t>لينة سلامي</t>
  </si>
  <si>
    <t>11PM</t>
  </si>
  <si>
    <t>جواد عبدربه</t>
  </si>
  <si>
    <t>سفيان خليفي</t>
  </si>
  <si>
    <t>Reno 10 5G</t>
  </si>
  <si>
    <t>عيسى لوبادي</t>
  </si>
  <si>
    <t>طارق فلاح</t>
  </si>
  <si>
    <t>C85 PRO 8/128 - XPAD 20 4/128</t>
  </si>
  <si>
    <t>C85 PRO 8/256</t>
  </si>
  <si>
    <t>C85 6/128</t>
  </si>
  <si>
    <t>نابش فرطاس</t>
  </si>
  <si>
    <t>يونس براهيمي</t>
  </si>
  <si>
    <t>XPAD 20 4/128 (X2)</t>
  </si>
  <si>
    <t>صندة</t>
  </si>
  <si>
    <t>احمد ميهوبي</t>
  </si>
  <si>
    <t>حسام قيطون</t>
  </si>
  <si>
    <t>مراد رحيم</t>
  </si>
  <si>
    <t>بوعلام</t>
  </si>
  <si>
    <t xml:space="preserve">   </t>
  </si>
  <si>
    <t>X100 PRO</t>
  </si>
  <si>
    <t>INFINIX SMART 10 128</t>
  </si>
  <si>
    <t>سليم محمدي</t>
  </si>
  <si>
    <t>S23 ULTRA</t>
  </si>
  <si>
    <t>ايمن زغبيب</t>
  </si>
  <si>
    <t>6T</t>
  </si>
  <si>
    <t>Techno Spark 2</t>
  </si>
  <si>
    <t>عبدو جلال</t>
  </si>
  <si>
    <t>PIXEL 7 PRO</t>
  </si>
  <si>
    <t>اكرم صاحب يونس</t>
  </si>
  <si>
    <t>نبيل فلاح</t>
  </si>
  <si>
    <t>خليلي معتز</t>
  </si>
  <si>
    <t>REDMI NOTE 14</t>
  </si>
  <si>
    <t>M17 6/128</t>
  </si>
  <si>
    <t>اخت وليد شارف</t>
  </si>
  <si>
    <t>SAMSUNG A16 6/128</t>
  </si>
  <si>
    <t>يوسف قطار</t>
  </si>
  <si>
    <t>رمزي صماري</t>
  </si>
  <si>
    <t>ناجي صماري</t>
  </si>
  <si>
    <t>شهد زواد</t>
  </si>
  <si>
    <t>لعياضي</t>
  </si>
  <si>
    <t>عمار ميمون</t>
  </si>
  <si>
    <t>X70</t>
  </si>
  <si>
    <t>13 PRO MAX 2SIM</t>
  </si>
  <si>
    <t xml:space="preserve"> INFINIX SMART 10 64</t>
  </si>
  <si>
    <t>دادي عبدربه</t>
  </si>
  <si>
    <t>اشرف ناقوص</t>
  </si>
  <si>
    <t>ادم بوسليماني</t>
  </si>
  <si>
    <t>Realme C53</t>
  </si>
  <si>
    <t>IP 13PM VERDE 90%</t>
  </si>
  <si>
    <t>BLADE A35</t>
  </si>
  <si>
    <t>SAMSUNG M17E</t>
  </si>
  <si>
    <t>مجموع السلعة بالكاش</t>
  </si>
  <si>
    <t xml:space="preserve"> نابيل درام</t>
  </si>
  <si>
    <t>samsung f56</t>
  </si>
  <si>
    <t>Techno Spark 1</t>
  </si>
  <si>
    <t>نعيم زواد</t>
  </si>
  <si>
    <t>M17 4/128</t>
  </si>
  <si>
    <t>سعد غنوم</t>
  </si>
  <si>
    <t>13 PRO 2SIM</t>
  </si>
  <si>
    <t>البار</t>
  </si>
  <si>
    <t>SAMSUNG M15 5G 6/128</t>
  </si>
  <si>
    <t>سالم عبدو</t>
  </si>
  <si>
    <t>SAMSUNG A05 4/128</t>
  </si>
  <si>
    <t>Tablete Modio</t>
  </si>
  <si>
    <t>تقار</t>
  </si>
  <si>
    <t xml:space="preserve">iphone 11 4/64 </t>
  </si>
  <si>
    <t>النعمي مريم</t>
  </si>
  <si>
    <t>سقني قيطون</t>
  </si>
  <si>
    <t>OPPO A5i 4/128</t>
  </si>
  <si>
    <t>SAMSUNG A05S 4/128</t>
  </si>
  <si>
    <t>أيوب برجوح</t>
  </si>
  <si>
    <t>XR TO 17 PRO</t>
  </si>
  <si>
    <t>HAMADA</t>
  </si>
  <si>
    <t>CONDOR  NOVA 70SE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</si>
</sst>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  <scheme val="minor"/>
    </font>
    <font>
      <b/>
      <sz val="8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6" borderId="1" xfId="0" applyFont="1" applyFill="1" applyBorder="1" applyAlignment="1"/>
    <xf numFmtId="0" fontId="3" fillId="3" borderId="1" xfId="1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164" fontId="3" fillId="4" borderId="1" xfId="0" applyNumberFormat="1" applyFont="1" applyFill="1" applyBorder="1" applyAlignment="1" applyProtection="1">
      <alignment horizontal="center"/>
      <protection locked="0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4" borderId="1" xfId="0" applyFont="1" applyFill="1" applyBorder="1" applyAlignment="1" applyProtection="1">
      <alignment horizontal="center" vertical="center" readingOrder="1"/>
      <protection locked="0"/>
    </xf>
    <xf numFmtId="0" fontId="3" fillId="7" borderId="4" xfId="0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 vertical="center" readingOrder="1"/>
      <protection locked="0"/>
    </xf>
    <xf numFmtId="0" fontId="3" fillId="9" borderId="1" xfId="0" applyFont="1" applyFill="1" applyBorder="1" applyAlignment="1">
      <alignment horizontal="center"/>
    </xf>
    <xf numFmtId="0" fontId="3" fillId="6" borderId="2" xfId="0" applyFont="1" applyFill="1" applyBorder="1" applyAlignment="1"/>
    <xf numFmtId="164" fontId="3" fillId="3" borderId="1" xfId="0" applyNumberFormat="1" applyFont="1" applyFill="1" applyBorder="1" applyAlignment="1" applyProtection="1">
      <alignment horizontal="center"/>
      <protection locked="0"/>
    </xf>
    <xf numFmtId="164" fontId="3" fillId="3" borderId="1" xfId="0" applyNumberFormat="1" applyFont="1" applyFill="1" applyBorder="1" applyAlignment="1" applyProtection="1">
      <alignment horizontal="center"/>
    </xf>
    <xf numFmtId="0" fontId="3" fillId="5" borderId="2" xfId="0" applyFont="1" applyFill="1" applyBorder="1" applyAlignment="1" applyProtection="1">
      <alignment horizontal="center"/>
    </xf>
    <xf numFmtId="0" fontId="3" fillId="5" borderId="3" xfId="0" applyFont="1" applyFill="1" applyBorder="1" applyAlignment="1" applyProtection="1">
      <alignment horizontal="center"/>
    </xf>
    <xf numFmtId="0" fontId="3" fillId="8" borderId="2" xfId="0" applyFont="1" applyFill="1" applyBorder="1" applyAlignment="1" applyProtection="1">
      <alignment horizontal="center"/>
    </xf>
    <xf numFmtId="0" fontId="3" fillId="8" borderId="3" xfId="0" applyFont="1" applyFill="1" applyBorder="1" applyAlignment="1" applyProtection="1">
      <alignment horizontal="center"/>
    </xf>
    <xf numFmtId="0" fontId="3" fillId="6" borderId="2" xfId="0" applyFont="1" applyFill="1" applyBorder="1" applyAlignment="1" applyProtection="1">
      <alignment horizontal="center"/>
    </xf>
    <xf numFmtId="0" fontId="3" fillId="6" borderId="3" xfId="0" applyFont="1" applyFill="1" applyBorder="1" applyAlignment="1" applyProtection="1">
      <alignment horizontal="center"/>
    </xf>
    <xf numFmtId="0" fontId="3" fillId="6" borderId="4" xfId="0" applyFont="1" applyFill="1" applyBorder="1" applyAlignment="1" applyProtection="1">
      <alignment horizontal="center"/>
    </xf>
  </cellXfs>
  <cellStyles count="2">
    <cellStyle name="سيئ" xfId="1" builtinId="27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31F1AD-7714-436D-AA4B-63BDE27F7FBA}">
  <we:reference id="wa104199815" version="1.0.0.1" store="ar-SA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rightToLeft="1" tabSelected="1" zoomScaleNormal="100" workbookViewId="0">
      <selection activeCell="E31" sqref="E31:Q31"/>
    </sheetView>
  </sheetViews>
  <sheetFormatPr defaultRowHeight="14.25" x14ac:dyDescent="0.2"/>
  <cols>
    <col min="1" max="1" width="15.25" style="3" customWidth="1"/>
    <col min="2" max="2" width="27.75" style="3" customWidth="1"/>
    <col min="3" max="3" width="13.25" style="4" customWidth="1"/>
    <col min="4" max="4" width="15.125" style="4" customWidth="1"/>
    <col min="5" max="5" width="18.25" style="3" customWidth="1"/>
    <col min="6" max="6" width="12.125" style="3" customWidth="1"/>
    <col min="7" max="7" width="16.125" style="3" customWidth="1"/>
    <col min="8" max="8" width="15" style="3" customWidth="1"/>
    <col min="9" max="9" width="16.125" style="3" customWidth="1"/>
    <col min="10" max="10" width="14.875" style="3" customWidth="1"/>
    <col min="11" max="11" width="17.125" style="3" customWidth="1"/>
    <col min="12" max="12" width="16.375" style="5" customWidth="1"/>
    <col min="13" max="13" width="15.5" style="5" customWidth="1"/>
    <col min="14" max="14" width="15" style="3" customWidth="1"/>
    <col min="15" max="15" width="9.875" style="3" customWidth="1"/>
    <col min="16" max="16" width="9" style="3"/>
    <col min="17" max="17" width="18.625" style="1" customWidth="1"/>
    <col min="18" max="18" width="9" style="1" customWidth="1"/>
    <col min="19" max="16384" width="9" style="1"/>
  </cols>
  <sheetData>
    <row r="1" spans="1:21" ht="15.75" x14ac:dyDescent="0.25">
      <c r="A1" s="8" t="s">
        <v>0</v>
      </c>
      <c r="B1" s="8" t="s">
        <v>7</v>
      </c>
      <c r="C1" s="20" t="s">
        <v>14</v>
      </c>
      <c r="D1" s="9" t="s">
        <v>11</v>
      </c>
      <c r="E1" s="8" t="s">
        <v>8</v>
      </c>
      <c r="F1" s="8" t="s">
        <v>4</v>
      </c>
      <c r="G1" s="2" t="s">
        <v>9</v>
      </c>
      <c r="H1" s="9" t="s">
        <v>10</v>
      </c>
      <c r="I1" s="8" t="s">
        <v>5</v>
      </c>
      <c r="J1" s="2" t="s">
        <v>3</v>
      </c>
      <c r="K1" s="6" t="s">
        <v>6</v>
      </c>
      <c r="L1" s="12" t="s">
        <v>1</v>
      </c>
      <c r="M1" s="10" t="s">
        <v>2</v>
      </c>
      <c r="N1" s="29" t="s">
        <v>12</v>
      </c>
      <c r="O1" s="30"/>
      <c r="P1" s="30"/>
      <c r="Q1" s="25" t="s">
        <v>92</v>
      </c>
      <c r="R1" s="13"/>
      <c r="S1" s="13"/>
      <c r="T1" s="13"/>
      <c r="U1" s="13"/>
    </row>
    <row r="2" spans="1:21" ht="15.75" x14ac:dyDescent="0.25">
      <c r="A2" s="16" t="s">
        <v>17</v>
      </c>
      <c r="B2" s="22" t="s">
        <v>18</v>
      </c>
      <c r="C2" s="23" t="s">
        <v>20</v>
      </c>
      <c r="D2" s="16">
        <v>41500</v>
      </c>
      <c r="E2" s="16">
        <v>47000</v>
      </c>
      <c r="F2" s="16">
        <v>35</v>
      </c>
      <c r="G2" s="15">
        <f>IF(E2="","",E2*F2/100+E2-H2)</f>
        <v>51150</v>
      </c>
      <c r="H2" s="16">
        <v>12300</v>
      </c>
      <c r="I2" s="16">
        <v>6</v>
      </c>
      <c r="J2" s="2">
        <f>IF(OR(C2="كاش", I2=0, I2=""), "", G2/I2)</f>
        <v>8525</v>
      </c>
      <c r="K2" s="7">
        <f>IF(G2="","",G2+H2-D2)</f>
        <v>21950</v>
      </c>
      <c r="L2" s="17">
        <v>46223</v>
      </c>
      <c r="M2" s="11">
        <f t="shared" ref="M2:M5" si="0">IF(OR(C2="كاش", L2=""), "", EDATE(L2, I2))</f>
        <v>46407</v>
      </c>
      <c r="N2" s="29">
        <f>SUM(D:D)</f>
        <v>4468020</v>
      </c>
      <c r="O2" s="30"/>
      <c r="P2" s="30"/>
      <c r="Q2" s="25">
        <f t="shared" ref="Q2:Q52" si="1">IF(E2="","",E2*F2/100+E2)</f>
        <v>63450</v>
      </c>
      <c r="R2" s="13"/>
      <c r="S2" s="13"/>
      <c r="T2" s="13"/>
      <c r="U2" s="13"/>
    </row>
    <row r="3" spans="1:21" ht="15.75" x14ac:dyDescent="0.25">
      <c r="A3" s="16" t="s">
        <v>17</v>
      </c>
      <c r="B3" s="22" t="s">
        <v>19</v>
      </c>
      <c r="C3" s="23" t="s">
        <v>27</v>
      </c>
      <c r="D3" s="16">
        <v>29900</v>
      </c>
      <c r="E3" s="16">
        <v>32000</v>
      </c>
      <c r="F3" s="16"/>
      <c r="G3" s="15">
        <f t="shared" ref="G3:G60" si="2">IF(E3="","",E3*F3/100+E3-H3)</f>
        <v>32000</v>
      </c>
      <c r="H3" s="16"/>
      <c r="I3" s="16"/>
      <c r="J3" s="2" t="str">
        <f t="shared" ref="J3:J30" si="3">IF(I3="","",G3/I3)</f>
        <v/>
      </c>
      <c r="K3" s="7">
        <f t="shared" ref="K3:K60" si="4">IF(G3="","",G3+H3-D3)</f>
        <v>2100</v>
      </c>
      <c r="L3" s="17">
        <v>46223</v>
      </c>
      <c r="M3" s="11" t="str">
        <f t="shared" si="0"/>
        <v/>
      </c>
      <c r="N3" s="21"/>
      <c r="O3" s="18"/>
      <c r="P3" s="19"/>
      <c r="Q3" s="25">
        <f t="shared" si="1"/>
        <v>32000</v>
      </c>
      <c r="R3" s="13"/>
      <c r="S3" s="13"/>
      <c r="T3" s="13"/>
      <c r="U3" s="13"/>
    </row>
    <row r="4" spans="1:21" ht="15.75" x14ac:dyDescent="0.25">
      <c r="A4" s="16" t="s">
        <v>21</v>
      </c>
      <c r="B4" s="22" t="s">
        <v>22</v>
      </c>
      <c r="C4" s="23" t="s">
        <v>20</v>
      </c>
      <c r="D4" s="16">
        <v>56500</v>
      </c>
      <c r="E4" s="16">
        <v>62800</v>
      </c>
      <c r="F4" s="16">
        <v>40</v>
      </c>
      <c r="G4" s="15">
        <f t="shared" si="2"/>
        <v>77420</v>
      </c>
      <c r="H4" s="16">
        <v>10500</v>
      </c>
      <c r="I4" s="16">
        <v>10</v>
      </c>
      <c r="J4" s="2">
        <f t="shared" si="3"/>
        <v>7742</v>
      </c>
      <c r="K4" s="7">
        <f t="shared" si="4"/>
        <v>31420</v>
      </c>
      <c r="L4" s="17">
        <v>46223</v>
      </c>
      <c r="M4" s="11">
        <f t="shared" si="0"/>
        <v>46527</v>
      </c>
      <c r="N4" s="21"/>
      <c r="O4" s="18"/>
      <c r="P4" s="19"/>
      <c r="Q4" s="25">
        <f t="shared" si="1"/>
        <v>87920</v>
      </c>
      <c r="R4" s="13"/>
      <c r="S4" s="13"/>
      <c r="T4" s="13"/>
      <c r="U4" s="13"/>
    </row>
    <row r="5" spans="1:21" ht="15.75" x14ac:dyDescent="0.25">
      <c r="A5" s="16" t="s">
        <v>23</v>
      </c>
      <c r="B5" s="22" t="s">
        <v>24</v>
      </c>
      <c r="C5" s="23" t="s">
        <v>20</v>
      </c>
      <c r="D5" s="16">
        <v>152000</v>
      </c>
      <c r="E5" s="16">
        <v>167000</v>
      </c>
      <c r="F5" s="16">
        <v>40</v>
      </c>
      <c r="G5" s="15">
        <f t="shared" si="2"/>
        <v>211800</v>
      </c>
      <c r="H5" s="16">
        <v>22000</v>
      </c>
      <c r="I5" s="16">
        <v>10</v>
      </c>
      <c r="J5" s="2">
        <f t="shared" si="3"/>
        <v>21180</v>
      </c>
      <c r="K5" s="7">
        <f t="shared" si="4"/>
        <v>81800</v>
      </c>
      <c r="L5" s="17">
        <v>46231</v>
      </c>
      <c r="M5" s="11">
        <f t="shared" si="0"/>
        <v>46535</v>
      </c>
      <c r="N5" s="29" t="s">
        <v>16</v>
      </c>
      <c r="O5" s="30"/>
      <c r="P5" s="30"/>
      <c r="Q5" s="25">
        <f t="shared" si="1"/>
        <v>233800</v>
      </c>
      <c r="R5" s="13"/>
      <c r="S5" s="13"/>
      <c r="T5" s="13"/>
      <c r="U5" s="13"/>
    </row>
    <row r="6" spans="1:21" ht="15.75" x14ac:dyDescent="0.25">
      <c r="A6" s="16" t="s">
        <v>25</v>
      </c>
      <c r="B6" s="22" t="s">
        <v>26</v>
      </c>
      <c r="C6" s="23" t="s">
        <v>27</v>
      </c>
      <c r="D6" s="16">
        <v>29500</v>
      </c>
      <c r="E6" s="16">
        <v>32500</v>
      </c>
      <c r="F6" s="16"/>
      <c r="G6" s="15">
        <f t="shared" si="2"/>
        <v>32500</v>
      </c>
      <c r="H6" s="16"/>
      <c r="I6" s="16"/>
      <c r="J6" s="2" t="str">
        <f t="shared" si="3"/>
        <v/>
      </c>
      <c r="K6" s="7">
        <f t="shared" si="4"/>
        <v>3000</v>
      </c>
      <c r="L6" s="17">
        <v>46223</v>
      </c>
      <c r="M6" s="11" t="str">
        <f>IF(OR(C6="كاش", L6=""), "", EDATE(L6, I6))</f>
        <v/>
      </c>
      <c r="N6" s="29">
        <f t="array" aca="1" ref="N6" ca="1">SUM(IF((I18:I75&gt;0)*(M18:M75&lt;&gt;"")*(M18:M75&gt;=TODAY()), K18:K75/I18:I75, 0))</f>
        <v>158978.13095238095</v>
      </c>
      <c r="O6" s="30"/>
      <c r="P6" s="30"/>
      <c r="Q6" s="25">
        <f t="shared" si="1"/>
        <v>32500</v>
      </c>
      <c r="R6" s="13"/>
      <c r="S6" s="13"/>
      <c r="T6" s="13"/>
      <c r="U6" s="13"/>
    </row>
    <row r="7" spans="1:21" ht="15.75" x14ac:dyDescent="0.25">
      <c r="A7" s="16" t="s">
        <v>28</v>
      </c>
      <c r="B7" s="22" t="s">
        <v>29</v>
      </c>
      <c r="C7" s="23" t="s">
        <v>20</v>
      </c>
      <c r="D7" s="16">
        <v>22500</v>
      </c>
      <c r="E7" s="16">
        <v>27900</v>
      </c>
      <c r="F7" s="16">
        <v>35</v>
      </c>
      <c r="G7" s="15">
        <f t="shared" si="2"/>
        <v>37665</v>
      </c>
      <c r="H7" s="16"/>
      <c r="I7" s="16">
        <v>6</v>
      </c>
      <c r="J7" s="2">
        <f t="shared" si="3"/>
        <v>6277.5</v>
      </c>
      <c r="K7" s="7">
        <f t="shared" si="4"/>
        <v>15165</v>
      </c>
      <c r="L7" s="17">
        <v>46223</v>
      </c>
      <c r="M7" s="11">
        <f t="shared" ref="M7:M59" si="5">IF(OR(C7="كاش", L7=""), "", EDATE(L7, I7))</f>
        <v>46407</v>
      </c>
      <c r="N7" s="21"/>
      <c r="O7" s="14"/>
      <c r="P7" s="26"/>
      <c r="Q7" s="25">
        <f t="shared" si="1"/>
        <v>37665</v>
      </c>
      <c r="R7" s="13"/>
      <c r="S7" s="13"/>
      <c r="T7" s="13"/>
      <c r="U7" s="13"/>
    </row>
    <row r="8" spans="1:21" ht="15.75" x14ac:dyDescent="0.25">
      <c r="A8" s="16" t="s">
        <v>30</v>
      </c>
      <c r="B8" s="22" t="s">
        <v>29</v>
      </c>
      <c r="C8" s="23" t="s">
        <v>27</v>
      </c>
      <c r="D8" s="16">
        <v>22500</v>
      </c>
      <c r="E8" s="16">
        <v>28500</v>
      </c>
      <c r="F8" s="16"/>
      <c r="G8" s="15">
        <f t="shared" si="2"/>
        <v>0</v>
      </c>
      <c r="H8" s="16">
        <v>28500</v>
      </c>
      <c r="I8" s="16"/>
      <c r="J8" s="2" t="str">
        <f t="shared" si="3"/>
        <v/>
      </c>
      <c r="K8" s="7">
        <f t="shared" si="4"/>
        <v>6000</v>
      </c>
      <c r="L8" s="17">
        <v>46223</v>
      </c>
      <c r="M8" s="11" t="str">
        <f t="shared" si="5"/>
        <v/>
      </c>
      <c r="N8" s="21"/>
      <c r="O8" s="14"/>
      <c r="P8" s="26"/>
      <c r="Q8" s="25">
        <f t="shared" si="1"/>
        <v>28500</v>
      </c>
      <c r="R8" s="13"/>
      <c r="S8" s="13"/>
      <c r="T8" s="13"/>
      <c r="U8" s="13"/>
    </row>
    <row r="9" spans="1:21" ht="15.75" x14ac:dyDescent="0.25">
      <c r="A9" s="16" t="s">
        <v>31</v>
      </c>
      <c r="B9" s="22" t="s">
        <v>120</v>
      </c>
      <c r="C9" s="23" t="s">
        <v>27</v>
      </c>
      <c r="D9" s="16">
        <v>19500</v>
      </c>
      <c r="E9" s="16">
        <v>21000</v>
      </c>
      <c r="F9" s="16"/>
      <c r="G9" s="15">
        <f t="shared" si="2"/>
        <v>21000</v>
      </c>
      <c r="H9" s="16"/>
      <c r="I9" s="16"/>
      <c r="J9" s="2" t="str">
        <f t="shared" si="3"/>
        <v/>
      </c>
      <c r="K9" s="7">
        <f t="shared" si="4"/>
        <v>1500</v>
      </c>
      <c r="L9" s="17">
        <v>46223</v>
      </c>
      <c r="M9" s="11" t="str">
        <f t="shared" si="5"/>
        <v/>
      </c>
      <c r="N9" s="29" t="s">
        <v>15</v>
      </c>
      <c r="O9" s="30"/>
      <c r="P9" s="30"/>
      <c r="Q9" s="25">
        <f t="shared" si="1"/>
        <v>21000</v>
      </c>
      <c r="R9" s="13"/>
      <c r="S9" s="13"/>
      <c r="T9" s="13"/>
      <c r="U9" s="13"/>
    </row>
    <row r="10" spans="1:21" ht="15.75" x14ac:dyDescent="0.25">
      <c r="A10" s="16" t="s">
        <v>32</v>
      </c>
      <c r="B10" s="22" t="s">
        <v>22</v>
      </c>
      <c r="C10" s="23" t="s">
        <v>65</v>
      </c>
      <c r="D10" s="16">
        <v>56500</v>
      </c>
      <c r="E10" s="16">
        <v>65300</v>
      </c>
      <c r="F10" s="16"/>
      <c r="G10" s="15">
        <f t="shared" si="2"/>
        <v>35300</v>
      </c>
      <c r="H10" s="16">
        <v>30000</v>
      </c>
      <c r="I10" s="16"/>
      <c r="J10" s="2" t="str">
        <f t="shared" si="3"/>
        <v/>
      </c>
      <c r="K10" s="7">
        <f t="shared" si="4"/>
        <v>8800</v>
      </c>
      <c r="L10" s="17">
        <v>46223</v>
      </c>
      <c r="M10" s="11"/>
      <c r="N10" s="29">
        <f>SUM(K:K)</f>
        <v>1689702</v>
      </c>
      <c r="O10" s="30"/>
      <c r="P10" s="30"/>
      <c r="Q10" s="25">
        <f t="shared" si="1"/>
        <v>65300</v>
      </c>
      <c r="R10" s="13"/>
      <c r="S10" s="13"/>
      <c r="T10" s="13"/>
      <c r="U10" s="13"/>
    </row>
    <row r="11" spans="1:21" ht="15.75" x14ac:dyDescent="0.25">
      <c r="A11" s="16" t="s">
        <v>33</v>
      </c>
      <c r="B11" s="22" t="s">
        <v>37</v>
      </c>
      <c r="C11" s="23" t="s">
        <v>27</v>
      </c>
      <c r="D11" s="16">
        <v>22000</v>
      </c>
      <c r="E11" s="16">
        <v>24000</v>
      </c>
      <c r="F11" s="16"/>
      <c r="G11" s="15">
        <f t="shared" si="2"/>
        <v>24000</v>
      </c>
      <c r="H11" s="16"/>
      <c r="I11" s="16"/>
      <c r="J11" s="2" t="str">
        <f t="shared" si="3"/>
        <v/>
      </c>
      <c r="K11" s="7">
        <f t="shared" si="4"/>
        <v>2000</v>
      </c>
      <c r="L11" s="17">
        <v>46223</v>
      </c>
      <c r="M11" s="11" t="str">
        <f t="shared" si="5"/>
        <v/>
      </c>
      <c r="N11" s="21"/>
      <c r="O11" s="14"/>
      <c r="P11" s="26"/>
      <c r="Q11" s="25">
        <f t="shared" si="1"/>
        <v>24000</v>
      </c>
      <c r="R11" s="13"/>
      <c r="S11" s="13"/>
      <c r="T11" s="13"/>
      <c r="U11" s="13"/>
    </row>
    <row r="12" spans="1:21" ht="15.75" x14ac:dyDescent="0.25">
      <c r="A12" s="16" t="s">
        <v>34</v>
      </c>
      <c r="B12" s="22" t="s">
        <v>36</v>
      </c>
      <c r="C12" s="23" t="s">
        <v>65</v>
      </c>
      <c r="D12" s="16">
        <v>108500</v>
      </c>
      <c r="E12" s="16">
        <v>122000</v>
      </c>
      <c r="F12" s="16"/>
      <c r="G12" s="15">
        <f t="shared" si="2"/>
        <v>122000</v>
      </c>
      <c r="H12" s="16"/>
      <c r="I12" s="16"/>
      <c r="J12" s="2" t="str">
        <f t="shared" si="3"/>
        <v/>
      </c>
      <c r="K12" s="7">
        <f t="shared" si="4"/>
        <v>13500</v>
      </c>
      <c r="L12" s="17">
        <v>46223</v>
      </c>
      <c r="M12" s="11"/>
      <c r="N12" s="21"/>
      <c r="O12" s="14"/>
      <c r="P12" s="26"/>
      <c r="Q12" s="25">
        <f t="shared" si="1"/>
        <v>122000</v>
      </c>
      <c r="R12" s="13"/>
      <c r="S12" s="13"/>
      <c r="T12" s="13"/>
      <c r="U12" s="13"/>
    </row>
    <row r="13" spans="1:21" ht="15.75" x14ac:dyDescent="0.25">
      <c r="A13" s="16" t="s">
        <v>35</v>
      </c>
      <c r="B13" s="22" t="s">
        <v>41</v>
      </c>
      <c r="C13" s="23" t="s">
        <v>20</v>
      </c>
      <c r="D13" s="16">
        <v>52500</v>
      </c>
      <c r="E13" s="16">
        <v>59500</v>
      </c>
      <c r="F13" s="16">
        <v>50</v>
      </c>
      <c r="G13" s="15">
        <f t="shared" si="2"/>
        <v>79200</v>
      </c>
      <c r="H13" s="16">
        <v>10050</v>
      </c>
      <c r="I13" s="16">
        <v>12</v>
      </c>
      <c r="J13" s="2">
        <f t="shared" si="3"/>
        <v>6600</v>
      </c>
      <c r="K13" s="7">
        <f t="shared" si="4"/>
        <v>36750</v>
      </c>
      <c r="L13" s="17">
        <v>46223</v>
      </c>
      <c r="M13" s="11">
        <f t="shared" si="5"/>
        <v>46588</v>
      </c>
      <c r="N13" s="29" t="s">
        <v>13</v>
      </c>
      <c r="O13" s="30"/>
      <c r="P13" s="30"/>
      <c r="Q13" s="25">
        <f t="shared" si="1"/>
        <v>89250</v>
      </c>
      <c r="R13" s="13"/>
      <c r="S13" s="13"/>
      <c r="T13" s="13"/>
      <c r="U13" s="13"/>
    </row>
    <row r="14" spans="1:21" ht="15.75" x14ac:dyDescent="0.25">
      <c r="A14" s="16" t="s">
        <v>38</v>
      </c>
      <c r="B14" s="22" t="s">
        <v>39</v>
      </c>
      <c r="C14" s="23" t="s">
        <v>20</v>
      </c>
      <c r="D14" s="16">
        <v>26000</v>
      </c>
      <c r="E14" s="16">
        <v>30500</v>
      </c>
      <c r="F14" s="16">
        <v>40</v>
      </c>
      <c r="G14" s="15">
        <f t="shared" si="2"/>
        <v>36200</v>
      </c>
      <c r="H14" s="16">
        <v>6500</v>
      </c>
      <c r="I14" s="16">
        <v>10</v>
      </c>
      <c r="J14" s="2">
        <f t="shared" si="3"/>
        <v>3620</v>
      </c>
      <c r="K14" s="7">
        <f t="shared" si="4"/>
        <v>16700</v>
      </c>
      <c r="L14" s="17">
        <v>46223</v>
      </c>
      <c r="M14" s="11">
        <f t="shared" si="5"/>
        <v>46527</v>
      </c>
      <c r="N14" s="29">
        <f ca="1">SUMIFS(J:J, M:M, "&gt;=" &amp; TODAY())</f>
        <v>524412.80952380947</v>
      </c>
      <c r="O14" s="30"/>
      <c r="P14" s="30"/>
      <c r="Q14" s="25">
        <f t="shared" si="1"/>
        <v>42700</v>
      </c>
      <c r="R14" s="13"/>
      <c r="S14" s="13"/>
      <c r="T14" s="13"/>
      <c r="U14" s="13"/>
    </row>
    <row r="15" spans="1:21" ht="15.75" x14ac:dyDescent="0.25">
      <c r="A15" s="16" t="s">
        <v>40</v>
      </c>
      <c r="B15" s="22" t="s">
        <v>41</v>
      </c>
      <c r="C15" s="23" t="s">
        <v>20</v>
      </c>
      <c r="D15" s="16">
        <v>52500</v>
      </c>
      <c r="E15" s="16">
        <v>59500</v>
      </c>
      <c r="F15" s="16">
        <v>40</v>
      </c>
      <c r="G15" s="15">
        <f t="shared" si="2"/>
        <v>83300</v>
      </c>
      <c r="H15" s="16"/>
      <c r="I15" s="16">
        <v>10</v>
      </c>
      <c r="J15" s="2">
        <f t="shared" si="3"/>
        <v>8330</v>
      </c>
      <c r="K15" s="7">
        <f t="shared" si="4"/>
        <v>30800</v>
      </c>
      <c r="L15" s="17">
        <v>46223</v>
      </c>
      <c r="M15" s="11">
        <f t="shared" si="5"/>
        <v>46527</v>
      </c>
      <c r="N15" s="21"/>
      <c r="O15" s="14"/>
      <c r="P15" s="26"/>
      <c r="Q15" s="25">
        <f t="shared" si="1"/>
        <v>83300</v>
      </c>
      <c r="R15" s="13"/>
      <c r="S15" s="13"/>
      <c r="T15" s="13"/>
      <c r="U15" s="13"/>
    </row>
    <row r="16" spans="1:21" ht="15.75" x14ac:dyDescent="0.25">
      <c r="A16" s="16" t="s">
        <v>42</v>
      </c>
      <c r="B16" s="22" t="s">
        <v>43</v>
      </c>
      <c r="C16" s="23" t="s">
        <v>20</v>
      </c>
      <c r="D16" s="16">
        <v>48000</v>
      </c>
      <c r="E16" s="16">
        <v>52500</v>
      </c>
      <c r="F16" s="16">
        <v>40</v>
      </c>
      <c r="G16" s="15">
        <f t="shared" si="2"/>
        <v>73500</v>
      </c>
      <c r="H16" s="16"/>
      <c r="I16" s="16">
        <v>10</v>
      </c>
      <c r="J16" s="2">
        <f t="shared" si="3"/>
        <v>7350</v>
      </c>
      <c r="K16" s="7">
        <f t="shared" si="4"/>
        <v>25500</v>
      </c>
      <c r="L16" s="17">
        <v>46224</v>
      </c>
      <c r="M16" s="11">
        <f t="shared" si="5"/>
        <v>46528</v>
      </c>
      <c r="N16" s="21"/>
      <c r="O16" s="14"/>
      <c r="P16" s="26"/>
      <c r="Q16" s="25">
        <f t="shared" si="1"/>
        <v>73500</v>
      </c>
      <c r="R16" s="13"/>
      <c r="S16" s="13"/>
      <c r="T16" s="13"/>
      <c r="U16" s="13"/>
    </row>
    <row r="17" spans="1:21" ht="15.75" x14ac:dyDescent="0.25">
      <c r="A17" s="16" t="s">
        <v>44</v>
      </c>
      <c r="B17" s="22" t="s">
        <v>45</v>
      </c>
      <c r="C17" s="23" t="s">
        <v>27</v>
      </c>
      <c r="D17" s="16">
        <v>39500</v>
      </c>
      <c r="E17" s="16">
        <v>45000</v>
      </c>
      <c r="F17" s="16"/>
      <c r="G17" s="15">
        <f t="shared" si="2"/>
        <v>45000</v>
      </c>
      <c r="H17" s="16"/>
      <c r="I17" s="16"/>
      <c r="J17" s="2" t="str">
        <f t="shared" si="3"/>
        <v/>
      </c>
      <c r="K17" s="7">
        <f t="shared" si="4"/>
        <v>5500</v>
      </c>
      <c r="L17" s="17">
        <v>46224</v>
      </c>
      <c r="M17" s="11"/>
      <c r="N17" s="31" t="s">
        <v>67</v>
      </c>
      <c r="O17" s="32"/>
      <c r="P17" s="32"/>
      <c r="Q17" s="25">
        <f t="shared" si="1"/>
        <v>45000</v>
      </c>
      <c r="R17" s="13"/>
      <c r="S17" s="13"/>
      <c r="T17" s="13"/>
      <c r="U17" s="13"/>
    </row>
    <row r="18" spans="1:21" ht="15.75" x14ac:dyDescent="0.25">
      <c r="A18" s="16" t="s">
        <v>49</v>
      </c>
      <c r="B18" s="22" t="s">
        <v>50</v>
      </c>
      <c r="C18" s="23" t="s">
        <v>27</v>
      </c>
      <c r="D18" s="16">
        <v>87000</v>
      </c>
      <c r="E18" s="16">
        <v>98000</v>
      </c>
      <c r="F18" s="16"/>
      <c r="G18" s="15">
        <f t="shared" si="2"/>
        <v>98000</v>
      </c>
      <c r="H18" s="16"/>
      <c r="I18" s="16"/>
      <c r="J18" s="2" t="str">
        <f t="shared" si="3"/>
        <v/>
      </c>
      <c r="K18" s="7">
        <f t="shared" si="4"/>
        <v>11000</v>
      </c>
      <c r="L18" s="17">
        <v>46224</v>
      </c>
      <c r="M18" s="11" t="str">
        <f t="shared" si="5"/>
        <v/>
      </c>
      <c r="N18" s="31">
        <f>SUMPRODUCT(J:J,I:I)</f>
        <v>4002705</v>
      </c>
      <c r="O18" s="32"/>
      <c r="P18" s="32"/>
      <c r="Q18" s="25">
        <f t="shared" si="1"/>
        <v>98000</v>
      </c>
      <c r="R18" s="13"/>
      <c r="S18" s="13"/>
      <c r="T18" s="13"/>
      <c r="U18" s="13"/>
    </row>
    <row r="19" spans="1:21" ht="15.75" x14ac:dyDescent="0.25">
      <c r="A19" s="16" t="s">
        <v>46</v>
      </c>
      <c r="B19" s="22" t="s">
        <v>47</v>
      </c>
      <c r="C19" s="23" t="s">
        <v>20</v>
      </c>
      <c r="D19" s="16">
        <v>24000</v>
      </c>
      <c r="E19" s="16">
        <v>26000</v>
      </c>
      <c r="F19" s="16">
        <v>40</v>
      </c>
      <c r="G19" s="15">
        <f t="shared" si="2"/>
        <v>36400</v>
      </c>
      <c r="H19" s="16"/>
      <c r="I19" s="16">
        <v>10</v>
      </c>
      <c r="J19" s="2">
        <f t="shared" si="3"/>
        <v>3640</v>
      </c>
      <c r="K19" s="7">
        <f t="shared" si="4"/>
        <v>12400</v>
      </c>
      <c r="L19" s="17">
        <v>46224</v>
      </c>
      <c r="M19" s="11">
        <f t="shared" si="5"/>
        <v>46528</v>
      </c>
      <c r="N19" s="33"/>
      <c r="O19" s="34"/>
      <c r="P19" s="35"/>
      <c r="Q19" s="25">
        <f t="shared" si="1"/>
        <v>36400</v>
      </c>
      <c r="R19" s="13"/>
      <c r="S19" s="13"/>
      <c r="T19" s="13"/>
      <c r="U19" s="13"/>
    </row>
    <row r="20" spans="1:21" ht="15.75" x14ac:dyDescent="0.25">
      <c r="A20" s="16" t="s">
        <v>48</v>
      </c>
      <c r="B20" s="22" t="s">
        <v>51</v>
      </c>
      <c r="C20" s="23" t="s">
        <v>20</v>
      </c>
      <c r="D20" s="16">
        <v>97000</v>
      </c>
      <c r="E20" s="16">
        <v>111000</v>
      </c>
      <c r="F20" s="16">
        <v>35</v>
      </c>
      <c r="G20" s="15">
        <f t="shared" si="2"/>
        <v>125850</v>
      </c>
      <c r="H20" s="16">
        <v>24000</v>
      </c>
      <c r="I20" s="16">
        <v>6</v>
      </c>
      <c r="J20" s="2">
        <f t="shared" si="3"/>
        <v>20975</v>
      </c>
      <c r="K20" s="7">
        <f t="shared" si="4"/>
        <v>52850</v>
      </c>
      <c r="L20" s="17">
        <v>46225</v>
      </c>
      <c r="M20" s="11">
        <f t="shared" si="5"/>
        <v>46409</v>
      </c>
      <c r="N20" s="21"/>
      <c r="O20" s="14"/>
      <c r="P20" s="26"/>
      <c r="Q20" s="25">
        <f t="shared" si="1"/>
        <v>149850</v>
      </c>
      <c r="R20" s="13"/>
      <c r="S20" s="13"/>
      <c r="T20" s="13"/>
      <c r="U20" s="13"/>
    </row>
    <row r="21" spans="1:21" ht="15.75" x14ac:dyDescent="0.25">
      <c r="A21" s="16" t="s">
        <v>52</v>
      </c>
      <c r="B21" s="22" t="s">
        <v>53</v>
      </c>
      <c r="C21" s="23" t="s">
        <v>20</v>
      </c>
      <c r="D21" s="16">
        <v>69000</v>
      </c>
      <c r="E21" s="16">
        <v>78900</v>
      </c>
      <c r="F21" s="16">
        <v>40</v>
      </c>
      <c r="G21" s="15">
        <f t="shared" si="2"/>
        <v>110000</v>
      </c>
      <c r="H21" s="16">
        <v>460</v>
      </c>
      <c r="I21" s="16">
        <v>10</v>
      </c>
      <c r="J21" s="2">
        <f t="shared" si="3"/>
        <v>11000</v>
      </c>
      <c r="K21" s="7">
        <f t="shared" si="4"/>
        <v>41460</v>
      </c>
      <c r="L21" s="17">
        <v>46225</v>
      </c>
      <c r="M21" s="11">
        <f t="shared" si="5"/>
        <v>46529</v>
      </c>
      <c r="N21" s="29" t="s">
        <v>146</v>
      </c>
      <c r="O21" s="30"/>
      <c r="P21" s="30"/>
      <c r="Q21" s="25">
        <f t="shared" si="1"/>
        <v>110460</v>
      </c>
      <c r="R21" s="13"/>
      <c r="S21" s="13"/>
      <c r="T21" s="13"/>
      <c r="U21" s="13"/>
    </row>
    <row r="22" spans="1:21" ht="15.75" x14ac:dyDescent="0.25">
      <c r="A22" s="16" t="s">
        <v>54</v>
      </c>
      <c r="B22" s="22" t="s">
        <v>53</v>
      </c>
      <c r="C22" s="23" t="s">
        <v>27</v>
      </c>
      <c r="D22" s="16">
        <v>69000</v>
      </c>
      <c r="E22" s="16">
        <v>76900</v>
      </c>
      <c r="F22" s="16"/>
      <c r="G22" s="15">
        <f t="shared" si="2"/>
        <v>76900</v>
      </c>
      <c r="H22" s="16"/>
      <c r="I22" s="16"/>
      <c r="J22" s="2" t="str">
        <f t="shared" si="3"/>
        <v/>
      </c>
      <c r="K22" s="7">
        <f t="shared" si="4"/>
        <v>7900</v>
      </c>
      <c r="L22" s="17">
        <v>46225</v>
      </c>
      <c r="M22" s="27"/>
      <c r="N22" s="29">
        <f>SUM(E:E)</f>
        <v>5082020</v>
      </c>
      <c r="O22" s="30"/>
      <c r="P22" s="30"/>
      <c r="Q22" s="25">
        <f t="shared" si="1"/>
        <v>76900</v>
      </c>
      <c r="R22" s="13"/>
      <c r="S22" s="13"/>
      <c r="T22" s="13"/>
      <c r="U22" s="13"/>
    </row>
    <row r="23" spans="1:21" ht="15.75" x14ac:dyDescent="0.25">
      <c r="A23" s="16" t="s">
        <v>55</v>
      </c>
      <c r="B23" s="22" t="s">
        <v>58</v>
      </c>
      <c r="C23" s="23" t="s">
        <v>20</v>
      </c>
      <c r="D23" s="16">
        <v>130000</v>
      </c>
      <c r="E23" s="16">
        <v>145000</v>
      </c>
      <c r="F23" s="16">
        <v>10</v>
      </c>
      <c r="G23" s="15">
        <f t="shared" si="2"/>
        <v>69500</v>
      </c>
      <c r="H23" s="16">
        <v>90000</v>
      </c>
      <c r="I23" s="16">
        <v>3</v>
      </c>
      <c r="J23" s="2">
        <f t="shared" si="3"/>
        <v>23166.666666666668</v>
      </c>
      <c r="K23" s="7">
        <f t="shared" si="4"/>
        <v>29500</v>
      </c>
      <c r="L23" s="17">
        <v>46226</v>
      </c>
      <c r="M23" s="28">
        <f t="shared" si="5"/>
        <v>46318</v>
      </c>
      <c r="N23" s="21"/>
      <c r="O23" s="14"/>
      <c r="P23" s="26"/>
      <c r="Q23" s="25">
        <f t="shared" si="1"/>
        <v>159500</v>
      </c>
      <c r="R23" s="13"/>
      <c r="S23" s="13"/>
      <c r="T23" s="13"/>
      <c r="U23" s="13"/>
    </row>
    <row r="24" spans="1:21" ht="15.75" x14ac:dyDescent="0.25">
      <c r="A24" s="16" t="s">
        <v>56</v>
      </c>
      <c r="B24" s="22" t="s">
        <v>57</v>
      </c>
      <c r="C24" s="23" t="s">
        <v>20</v>
      </c>
      <c r="D24" s="16">
        <v>30000</v>
      </c>
      <c r="E24" s="16">
        <v>33000</v>
      </c>
      <c r="F24" s="16">
        <v>35</v>
      </c>
      <c r="G24" s="15">
        <f t="shared" si="2"/>
        <v>41550</v>
      </c>
      <c r="H24" s="16">
        <v>3000</v>
      </c>
      <c r="I24" s="16">
        <v>6</v>
      </c>
      <c r="J24" s="2">
        <f t="shared" si="3"/>
        <v>6925</v>
      </c>
      <c r="K24" s="7">
        <f t="shared" si="4"/>
        <v>14550</v>
      </c>
      <c r="L24" s="17">
        <v>46226</v>
      </c>
      <c r="M24" s="11">
        <f t="shared" si="5"/>
        <v>46410</v>
      </c>
      <c r="N24" s="21"/>
      <c r="O24" s="14"/>
      <c r="P24" s="26"/>
      <c r="Q24" s="25">
        <f t="shared" si="1"/>
        <v>44550</v>
      </c>
      <c r="R24" s="13"/>
      <c r="S24" s="13"/>
      <c r="T24" s="13"/>
      <c r="U24" s="13"/>
    </row>
    <row r="25" spans="1:21" ht="15.75" x14ac:dyDescent="0.25">
      <c r="A25" s="16" t="s">
        <v>59</v>
      </c>
      <c r="B25" s="22" t="s">
        <v>60</v>
      </c>
      <c r="C25" s="23" t="s">
        <v>20</v>
      </c>
      <c r="D25" s="16">
        <v>152000</v>
      </c>
      <c r="E25" s="16">
        <v>167000</v>
      </c>
      <c r="F25" s="16">
        <v>40</v>
      </c>
      <c r="G25" s="15">
        <f t="shared" si="2"/>
        <v>203800</v>
      </c>
      <c r="H25" s="16">
        <v>30000</v>
      </c>
      <c r="I25" s="16">
        <v>10</v>
      </c>
      <c r="J25" s="2">
        <f t="shared" si="3"/>
        <v>20380</v>
      </c>
      <c r="K25" s="7">
        <f t="shared" si="4"/>
        <v>81800</v>
      </c>
      <c r="L25" s="17">
        <v>46226</v>
      </c>
      <c r="M25" s="11">
        <f t="shared" si="5"/>
        <v>46530</v>
      </c>
      <c r="N25" s="21"/>
      <c r="O25" s="14"/>
      <c r="P25" s="26"/>
      <c r="Q25" s="25">
        <f t="shared" si="1"/>
        <v>233800</v>
      </c>
      <c r="R25" s="13"/>
      <c r="S25" s="13"/>
      <c r="T25" s="13"/>
      <c r="U25" s="13"/>
    </row>
    <row r="26" spans="1:21" ht="15.75" x14ac:dyDescent="0.25">
      <c r="A26" s="16" t="s">
        <v>61</v>
      </c>
      <c r="B26" s="22" t="s">
        <v>62</v>
      </c>
      <c r="C26" s="23" t="s">
        <v>27</v>
      </c>
      <c r="D26" s="16">
        <v>100000</v>
      </c>
      <c r="E26" s="16">
        <v>135000</v>
      </c>
      <c r="F26" s="16"/>
      <c r="G26" s="15">
        <f t="shared" si="2"/>
        <v>7000</v>
      </c>
      <c r="H26" s="16">
        <v>128000</v>
      </c>
      <c r="I26" s="16"/>
      <c r="J26" s="2" t="str">
        <f t="shared" si="3"/>
        <v/>
      </c>
      <c r="K26" s="7">
        <f t="shared" si="4"/>
        <v>35000</v>
      </c>
      <c r="L26" s="17">
        <v>46228</v>
      </c>
      <c r="M26" s="11" t="str">
        <f t="shared" si="5"/>
        <v/>
      </c>
      <c r="N26" s="21"/>
      <c r="O26" s="14"/>
      <c r="P26" s="26"/>
      <c r="Q26" s="25">
        <f t="shared" si="1"/>
        <v>135000</v>
      </c>
      <c r="R26" s="13"/>
      <c r="S26" s="13"/>
      <c r="T26" s="13"/>
      <c r="U26" s="13"/>
    </row>
    <row r="27" spans="1:21" ht="15.75" x14ac:dyDescent="0.25">
      <c r="A27" s="16" t="s">
        <v>63</v>
      </c>
      <c r="B27" s="22" t="s">
        <v>64</v>
      </c>
      <c r="C27" s="23" t="s">
        <v>20</v>
      </c>
      <c r="D27" s="16">
        <v>250000</v>
      </c>
      <c r="E27" s="16">
        <v>270000</v>
      </c>
      <c r="F27" s="16">
        <v>35</v>
      </c>
      <c r="G27" s="15">
        <f t="shared" si="2"/>
        <v>284500</v>
      </c>
      <c r="H27" s="16">
        <v>80000</v>
      </c>
      <c r="I27" s="16">
        <v>10</v>
      </c>
      <c r="J27" s="2">
        <f t="shared" si="3"/>
        <v>28450</v>
      </c>
      <c r="K27" s="7">
        <f t="shared" si="4"/>
        <v>114500</v>
      </c>
      <c r="L27" s="17">
        <v>46228</v>
      </c>
      <c r="M27" s="11">
        <f t="shared" si="5"/>
        <v>46532</v>
      </c>
      <c r="N27" s="21"/>
      <c r="O27" s="14"/>
      <c r="P27" s="26"/>
      <c r="Q27" s="25">
        <f t="shared" si="1"/>
        <v>364500</v>
      </c>
      <c r="R27" s="13"/>
      <c r="S27" s="13"/>
      <c r="T27" s="13"/>
      <c r="U27" s="13"/>
    </row>
    <row r="28" spans="1:21" ht="15.75" x14ac:dyDescent="0.25">
      <c r="A28" s="16" t="s">
        <v>25</v>
      </c>
      <c r="B28" s="22" t="s">
        <v>66</v>
      </c>
      <c r="C28" s="23" t="s">
        <v>27</v>
      </c>
      <c r="D28" s="16">
        <v>102000</v>
      </c>
      <c r="E28" s="16">
        <v>115000</v>
      </c>
      <c r="F28" s="16"/>
      <c r="G28" s="15">
        <f t="shared" si="2"/>
        <v>75000</v>
      </c>
      <c r="H28" s="16">
        <v>40000</v>
      </c>
      <c r="I28" s="16"/>
      <c r="J28" s="2" t="str">
        <f t="shared" si="3"/>
        <v/>
      </c>
      <c r="K28" s="7">
        <f t="shared" si="4"/>
        <v>13000</v>
      </c>
      <c r="L28" s="17">
        <v>46228</v>
      </c>
      <c r="M28" s="11" t="str">
        <f t="shared" si="5"/>
        <v/>
      </c>
      <c r="N28" s="21"/>
      <c r="O28" s="14"/>
      <c r="P28" s="26"/>
      <c r="Q28" s="25">
        <f t="shared" si="1"/>
        <v>115000</v>
      </c>
      <c r="R28" s="13"/>
      <c r="S28" s="13"/>
      <c r="T28" s="13"/>
      <c r="U28" s="13"/>
    </row>
    <row r="29" spans="1:21" ht="15.75" x14ac:dyDescent="0.25">
      <c r="A29" s="16" t="s">
        <v>69</v>
      </c>
      <c r="B29" s="22" t="s">
        <v>68</v>
      </c>
      <c r="C29" s="23" t="s">
        <v>27</v>
      </c>
      <c r="D29" s="16">
        <v>31000</v>
      </c>
      <c r="E29" s="16">
        <v>34000</v>
      </c>
      <c r="F29" s="16"/>
      <c r="G29" s="15">
        <f t="shared" si="2"/>
        <v>34000</v>
      </c>
      <c r="H29" s="16"/>
      <c r="I29" s="16"/>
      <c r="J29" s="2" t="str">
        <f t="shared" si="3"/>
        <v/>
      </c>
      <c r="K29" s="7">
        <f t="shared" si="4"/>
        <v>3000</v>
      </c>
      <c r="L29" s="17">
        <v>46228</v>
      </c>
      <c r="M29" s="11" t="str">
        <f t="shared" si="5"/>
        <v/>
      </c>
      <c r="N29" s="21"/>
      <c r="O29" s="14"/>
      <c r="P29" s="26"/>
      <c r="Q29" s="25">
        <f t="shared" si="1"/>
        <v>34000</v>
      </c>
      <c r="R29" s="13"/>
      <c r="S29" s="13"/>
      <c r="T29" s="13"/>
      <c r="U29" s="13"/>
    </row>
    <row r="30" spans="1:21" ht="15.75" x14ac:dyDescent="0.25">
      <c r="A30" s="16" t="s">
        <v>71</v>
      </c>
      <c r="B30" s="22" t="s">
        <v>70</v>
      </c>
      <c r="C30" s="23" t="s">
        <v>65</v>
      </c>
      <c r="D30" s="16">
        <v>41500</v>
      </c>
      <c r="E30" s="16">
        <v>48000</v>
      </c>
      <c r="F30" s="16"/>
      <c r="G30" s="15">
        <f t="shared" si="2"/>
        <v>33000</v>
      </c>
      <c r="H30" s="16">
        <v>15000</v>
      </c>
      <c r="I30" s="16"/>
      <c r="J30" s="2" t="str">
        <f t="shared" si="3"/>
        <v/>
      </c>
      <c r="K30" s="7">
        <f t="shared" si="4"/>
        <v>6500</v>
      </c>
      <c r="L30" s="17">
        <v>46228</v>
      </c>
      <c r="M30" s="11"/>
      <c r="N30" s="21"/>
      <c r="O30" s="14"/>
      <c r="P30" s="26"/>
      <c r="Q30" s="25">
        <f t="shared" si="1"/>
        <v>48000</v>
      </c>
      <c r="R30" s="13"/>
      <c r="S30" s="13"/>
      <c r="T30" s="13"/>
      <c r="U30" s="13"/>
    </row>
    <row r="31" spans="1:21" ht="15.75" x14ac:dyDescent="0.25">
      <c r="A31" s="16" t="s">
        <v>73</v>
      </c>
      <c r="B31" s="22" t="s">
        <v>72</v>
      </c>
      <c r="C31" s="23" t="s">
        <v>20</v>
      </c>
      <c r="D31" s="16">
        <v>52000</v>
      </c>
      <c r="E31" s="16">
        <v>62000</v>
      </c>
      <c r="F31" s="16">
        <v>35</v>
      </c>
      <c r="G31" s="15">
        <f t="shared" si="2"/>
        <v>83700</v>
      </c>
      <c r="H31" s="16"/>
      <c r="I31" s="16">
        <v>6</v>
      </c>
      <c r="J31" s="2">
        <f t="shared" ref="J31:J51" si="6">IF(I31="","",G31/I31)</f>
        <v>13950</v>
      </c>
      <c r="K31" s="7">
        <f t="shared" si="4"/>
        <v>31700</v>
      </c>
      <c r="L31" s="17">
        <v>46228</v>
      </c>
      <c r="M31" s="11">
        <f t="shared" si="5"/>
        <v>46412</v>
      </c>
      <c r="N31" s="21"/>
      <c r="O31" s="14"/>
      <c r="P31" s="26"/>
      <c r="Q31" s="25">
        <f t="shared" si="1"/>
        <v>83700</v>
      </c>
      <c r="R31" s="13"/>
      <c r="S31" s="13"/>
      <c r="T31" s="13"/>
      <c r="U31" s="13"/>
    </row>
    <row r="32" spans="1:21" ht="15.75" x14ac:dyDescent="0.25">
      <c r="A32" s="16" t="s">
        <v>74</v>
      </c>
      <c r="B32" s="22" t="s">
        <v>75</v>
      </c>
      <c r="C32" s="23" t="s">
        <v>20</v>
      </c>
      <c r="D32" s="16">
        <v>31000</v>
      </c>
      <c r="E32" s="16">
        <v>34000</v>
      </c>
      <c r="F32" s="16">
        <v>35</v>
      </c>
      <c r="G32" s="15">
        <f t="shared" si="2"/>
        <v>36000</v>
      </c>
      <c r="H32" s="16">
        <v>9900</v>
      </c>
      <c r="I32" s="16">
        <v>6</v>
      </c>
      <c r="J32" s="2">
        <f t="shared" si="6"/>
        <v>6000</v>
      </c>
      <c r="K32" s="7">
        <f t="shared" si="4"/>
        <v>14900</v>
      </c>
      <c r="L32" s="17">
        <v>46228</v>
      </c>
      <c r="M32" s="11">
        <f t="shared" si="5"/>
        <v>46412</v>
      </c>
      <c r="N32" s="21"/>
      <c r="O32" s="14"/>
      <c r="P32" s="26"/>
      <c r="Q32" s="25">
        <f t="shared" si="1"/>
        <v>45900</v>
      </c>
      <c r="R32" s="13"/>
      <c r="S32" s="13"/>
      <c r="T32" s="13"/>
      <c r="U32" s="13"/>
    </row>
    <row r="33" spans="1:21" ht="15.75" x14ac:dyDescent="0.25">
      <c r="A33" s="16" t="s">
        <v>76</v>
      </c>
      <c r="B33" s="22" t="s">
        <v>77</v>
      </c>
      <c r="C33" s="23" t="s">
        <v>20</v>
      </c>
      <c r="D33" s="16">
        <v>77500</v>
      </c>
      <c r="E33" s="16">
        <v>82800</v>
      </c>
      <c r="F33" s="16">
        <v>40</v>
      </c>
      <c r="G33" s="15">
        <f t="shared" si="2"/>
        <v>100000</v>
      </c>
      <c r="H33" s="16">
        <v>15920</v>
      </c>
      <c r="I33" s="16">
        <v>10</v>
      </c>
      <c r="J33" s="2">
        <f t="shared" si="6"/>
        <v>10000</v>
      </c>
      <c r="K33" s="7">
        <f t="shared" si="4"/>
        <v>38420</v>
      </c>
      <c r="L33" s="17">
        <v>46235</v>
      </c>
      <c r="M33" s="11">
        <f t="shared" si="5"/>
        <v>46539</v>
      </c>
      <c r="N33" s="21"/>
      <c r="O33" s="14"/>
      <c r="P33" s="26"/>
      <c r="Q33" s="25">
        <f t="shared" si="1"/>
        <v>115920</v>
      </c>
      <c r="R33" s="13"/>
      <c r="S33" s="13"/>
      <c r="T33" s="13"/>
      <c r="U33" s="13"/>
    </row>
    <row r="34" spans="1:21" ht="15.75" x14ac:dyDescent="0.25">
      <c r="A34" s="16" t="s">
        <v>78</v>
      </c>
      <c r="B34" s="22" t="s">
        <v>77</v>
      </c>
      <c r="C34" s="23" t="s">
        <v>20</v>
      </c>
      <c r="D34" s="16">
        <v>77500</v>
      </c>
      <c r="E34" s="16">
        <v>82800</v>
      </c>
      <c r="F34" s="16">
        <v>40</v>
      </c>
      <c r="G34" s="15">
        <f t="shared" si="2"/>
        <v>105920</v>
      </c>
      <c r="H34" s="16">
        <v>10000</v>
      </c>
      <c r="I34" s="16">
        <v>10</v>
      </c>
      <c r="J34" s="2">
        <f t="shared" si="6"/>
        <v>10592</v>
      </c>
      <c r="K34" s="7">
        <f t="shared" si="4"/>
        <v>38420</v>
      </c>
      <c r="L34" s="17">
        <v>46235</v>
      </c>
      <c r="M34" s="11">
        <f t="shared" si="5"/>
        <v>46539</v>
      </c>
      <c r="N34" s="21"/>
      <c r="O34" s="14"/>
      <c r="P34" s="26"/>
      <c r="Q34" s="25">
        <f t="shared" si="1"/>
        <v>115920</v>
      </c>
      <c r="R34" s="13"/>
      <c r="S34" s="13"/>
      <c r="T34" s="13"/>
      <c r="U34" s="13"/>
    </row>
    <row r="35" spans="1:21" ht="15.75" x14ac:dyDescent="0.25">
      <c r="A35" s="16" t="s">
        <v>80</v>
      </c>
      <c r="B35" s="22" t="s">
        <v>79</v>
      </c>
      <c r="C35" s="23" t="s">
        <v>20</v>
      </c>
      <c r="D35" s="16">
        <v>15500</v>
      </c>
      <c r="E35" s="16">
        <v>19500</v>
      </c>
      <c r="F35" s="16">
        <v>35</v>
      </c>
      <c r="G35" s="15">
        <f t="shared" si="2"/>
        <v>26325</v>
      </c>
      <c r="H35" s="16"/>
      <c r="I35" s="16">
        <v>6</v>
      </c>
      <c r="J35" s="2">
        <f t="shared" si="6"/>
        <v>4387.5</v>
      </c>
      <c r="K35" s="7">
        <f t="shared" si="4"/>
        <v>10825</v>
      </c>
      <c r="L35" s="17">
        <v>46235</v>
      </c>
      <c r="M35" s="11">
        <f t="shared" si="5"/>
        <v>46419</v>
      </c>
      <c r="N35" s="21"/>
      <c r="O35" s="14"/>
      <c r="P35" s="26"/>
      <c r="Q35" s="25">
        <f t="shared" si="1"/>
        <v>26325</v>
      </c>
      <c r="R35" s="13"/>
      <c r="S35" s="13"/>
      <c r="T35" s="13"/>
      <c r="U35" s="13"/>
    </row>
    <row r="36" spans="1:21" ht="15.75" x14ac:dyDescent="0.25">
      <c r="A36" s="16" t="s">
        <v>81</v>
      </c>
      <c r="B36" s="22" t="s">
        <v>84</v>
      </c>
      <c r="C36" s="23" t="s">
        <v>20</v>
      </c>
      <c r="D36" s="16">
        <v>42000</v>
      </c>
      <c r="E36" s="16">
        <v>45000</v>
      </c>
      <c r="F36" s="16">
        <v>40</v>
      </c>
      <c r="G36" s="15">
        <f t="shared" si="2"/>
        <v>58000</v>
      </c>
      <c r="H36" s="16">
        <v>5000</v>
      </c>
      <c r="I36" s="16">
        <v>10</v>
      </c>
      <c r="J36" s="2">
        <f t="shared" si="6"/>
        <v>5800</v>
      </c>
      <c r="K36" s="7">
        <f t="shared" si="4"/>
        <v>21000</v>
      </c>
      <c r="L36" s="17">
        <v>46235</v>
      </c>
      <c r="M36" s="11">
        <f t="shared" si="5"/>
        <v>46539</v>
      </c>
      <c r="N36" s="21"/>
      <c r="O36" s="14"/>
      <c r="P36" s="26"/>
      <c r="Q36" s="25">
        <f t="shared" si="1"/>
        <v>63000</v>
      </c>
      <c r="R36" s="13"/>
      <c r="S36" s="13"/>
      <c r="T36" s="13"/>
      <c r="U36" s="13"/>
    </row>
    <row r="37" spans="1:21" ht="15.75" x14ac:dyDescent="0.25">
      <c r="A37" s="16" t="s">
        <v>82</v>
      </c>
      <c r="B37" s="22" t="s">
        <v>83</v>
      </c>
      <c r="C37" s="23" t="s">
        <v>20</v>
      </c>
      <c r="D37" s="16">
        <v>17000</v>
      </c>
      <c r="E37" s="16">
        <v>21000</v>
      </c>
      <c r="F37" s="16">
        <v>35</v>
      </c>
      <c r="G37" s="15">
        <f t="shared" si="2"/>
        <v>28350</v>
      </c>
      <c r="H37" s="16"/>
      <c r="I37" s="16">
        <v>6</v>
      </c>
      <c r="J37" s="2">
        <f t="shared" si="6"/>
        <v>4725</v>
      </c>
      <c r="K37" s="7">
        <f t="shared" si="4"/>
        <v>11350</v>
      </c>
      <c r="L37" s="17">
        <v>46235</v>
      </c>
      <c r="M37" s="11">
        <f t="shared" si="5"/>
        <v>46419</v>
      </c>
      <c r="N37" s="21"/>
      <c r="O37" s="14"/>
      <c r="P37" s="26"/>
      <c r="Q37" s="25">
        <f t="shared" si="1"/>
        <v>28350</v>
      </c>
    </row>
    <row r="38" spans="1:21" ht="15.75" x14ac:dyDescent="0.25">
      <c r="A38" s="16" t="s">
        <v>69</v>
      </c>
      <c r="B38" s="22" t="s">
        <v>86</v>
      </c>
      <c r="C38" s="23" t="s">
        <v>27</v>
      </c>
      <c r="D38" s="16">
        <v>20000</v>
      </c>
      <c r="E38" s="16">
        <v>24000</v>
      </c>
      <c r="F38" s="16"/>
      <c r="G38" s="15">
        <f t="shared" si="2"/>
        <v>24000</v>
      </c>
      <c r="H38" s="16"/>
      <c r="I38" s="16"/>
      <c r="J38" s="2" t="str">
        <f t="shared" si="6"/>
        <v/>
      </c>
      <c r="K38" s="7">
        <f t="shared" si="4"/>
        <v>4000</v>
      </c>
      <c r="L38" s="17">
        <v>46236</v>
      </c>
      <c r="M38" s="11" t="str">
        <f t="shared" si="5"/>
        <v/>
      </c>
      <c r="N38" s="21"/>
      <c r="O38" s="14"/>
      <c r="P38" s="26"/>
      <c r="Q38" s="25">
        <f t="shared" si="1"/>
        <v>24000</v>
      </c>
    </row>
    <row r="39" spans="1:21" ht="15.75" x14ac:dyDescent="0.25">
      <c r="A39" s="16" t="s">
        <v>85</v>
      </c>
      <c r="B39" s="22" t="s">
        <v>88</v>
      </c>
      <c r="C39" s="23" t="s">
        <v>20</v>
      </c>
      <c r="D39" s="16">
        <v>45500</v>
      </c>
      <c r="E39" s="16">
        <v>51500</v>
      </c>
      <c r="F39" s="16">
        <v>35</v>
      </c>
      <c r="G39" s="15">
        <f t="shared" si="2"/>
        <v>69000</v>
      </c>
      <c r="H39" s="16">
        <v>525</v>
      </c>
      <c r="I39" s="16">
        <v>6</v>
      </c>
      <c r="J39" s="2">
        <f t="shared" si="6"/>
        <v>11500</v>
      </c>
      <c r="K39" s="7">
        <f t="shared" si="4"/>
        <v>24025</v>
      </c>
      <c r="L39" s="17">
        <v>46236</v>
      </c>
      <c r="M39" s="11">
        <f t="shared" si="5"/>
        <v>46420</v>
      </c>
      <c r="N39" s="21"/>
      <c r="O39" s="14"/>
      <c r="P39" s="26"/>
      <c r="Q39" s="25">
        <f t="shared" si="1"/>
        <v>69525</v>
      </c>
    </row>
    <row r="40" spans="1:21" ht="15.75" x14ac:dyDescent="0.25">
      <c r="A40" s="16" t="s">
        <v>87</v>
      </c>
      <c r="B40" s="22" t="s">
        <v>88</v>
      </c>
      <c r="C40" s="23" t="s">
        <v>20</v>
      </c>
      <c r="D40" s="16">
        <v>45500</v>
      </c>
      <c r="E40" s="16">
        <v>51500</v>
      </c>
      <c r="F40" s="16">
        <v>35</v>
      </c>
      <c r="G40" s="15">
        <f t="shared" ref="G40:G43" si="7">IF(E40="","",E40*F40/100+E40-H40)</f>
        <v>69000</v>
      </c>
      <c r="H40" s="16">
        <v>525</v>
      </c>
      <c r="I40" s="16">
        <v>6</v>
      </c>
      <c r="J40" s="2">
        <f t="shared" ref="J40:J43" si="8">IF(I40="","",G40/I40)</f>
        <v>11500</v>
      </c>
      <c r="K40" s="7">
        <f t="shared" ref="K40:K43" si="9">IF(G40="","",G40+H40-D40)</f>
        <v>24025</v>
      </c>
      <c r="L40" s="17">
        <v>46237</v>
      </c>
      <c r="M40" s="11">
        <f t="shared" ref="M40:M43" si="10">IF(OR(C40="كاش", L40=""), "", EDATE(L40, I40))</f>
        <v>46421</v>
      </c>
      <c r="N40" s="21"/>
      <c r="O40" s="14"/>
      <c r="P40" s="26"/>
      <c r="Q40" s="25">
        <f t="shared" si="1"/>
        <v>69525</v>
      </c>
    </row>
    <row r="41" spans="1:21" ht="15.75" x14ac:dyDescent="0.25">
      <c r="A41" s="16" t="s">
        <v>89</v>
      </c>
      <c r="B41" s="22" t="s">
        <v>26</v>
      </c>
      <c r="C41" s="23" t="s">
        <v>20</v>
      </c>
      <c r="D41" s="16">
        <v>30000</v>
      </c>
      <c r="E41" s="16">
        <v>35000</v>
      </c>
      <c r="F41" s="16">
        <v>35</v>
      </c>
      <c r="G41" s="15">
        <f t="shared" si="7"/>
        <v>46800</v>
      </c>
      <c r="H41" s="16">
        <v>450</v>
      </c>
      <c r="I41" s="16">
        <v>6</v>
      </c>
      <c r="J41" s="2">
        <f t="shared" si="8"/>
        <v>7800</v>
      </c>
      <c r="K41" s="7">
        <f t="shared" si="9"/>
        <v>17250</v>
      </c>
      <c r="L41" s="17">
        <v>46237</v>
      </c>
      <c r="M41" s="11">
        <f t="shared" si="10"/>
        <v>46421</v>
      </c>
      <c r="N41" s="21"/>
      <c r="O41" s="14"/>
      <c r="P41" s="26"/>
      <c r="Q41" s="25">
        <f t="shared" si="1"/>
        <v>47250</v>
      </c>
    </row>
    <row r="42" spans="1:21" ht="15.75" x14ac:dyDescent="0.25">
      <c r="A42" s="16" t="s">
        <v>90</v>
      </c>
      <c r="B42" s="22" t="s">
        <v>19</v>
      </c>
      <c r="C42" s="23" t="s">
        <v>65</v>
      </c>
      <c r="D42" s="16">
        <v>29500</v>
      </c>
      <c r="E42" s="16">
        <v>32000</v>
      </c>
      <c r="F42" s="16"/>
      <c r="G42" s="15">
        <f t="shared" si="7"/>
        <v>2000</v>
      </c>
      <c r="H42" s="16">
        <v>30000</v>
      </c>
      <c r="I42" s="16"/>
      <c r="J42" s="2" t="str">
        <f t="shared" si="8"/>
        <v/>
      </c>
      <c r="K42" s="7">
        <f t="shared" si="9"/>
        <v>2500</v>
      </c>
      <c r="L42" s="17">
        <v>46237</v>
      </c>
      <c r="M42" s="11">
        <f t="shared" si="10"/>
        <v>46237</v>
      </c>
      <c r="N42" s="21"/>
      <c r="O42" s="14"/>
      <c r="P42" s="26"/>
      <c r="Q42" s="25">
        <f t="shared" si="1"/>
        <v>32000</v>
      </c>
    </row>
    <row r="43" spans="1:21" ht="15.75" x14ac:dyDescent="0.25">
      <c r="A43" s="16" t="s">
        <v>46</v>
      </c>
      <c r="B43" s="22" t="s">
        <v>91</v>
      </c>
      <c r="C43" s="23" t="s">
        <v>20</v>
      </c>
      <c r="D43" s="16">
        <v>25000</v>
      </c>
      <c r="E43" s="16">
        <v>31000</v>
      </c>
      <c r="F43" s="16">
        <v>40</v>
      </c>
      <c r="G43" s="15">
        <f t="shared" si="7"/>
        <v>43400</v>
      </c>
      <c r="H43" s="16"/>
      <c r="I43" s="16">
        <v>10</v>
      </c>
      <c r="J43" s="2">
        <f t="shared" si="8"/>
        <v>4340</v>
      </c>
      <c r="K43" s="7">
        <f t="shared" si="9"/>
        <v>18400</v>
      </c>
      <c r="L43" s="17">
        <v>46239</v>
      </c>
      <c r="M43" s="11">
        <f t="shared" si="10"/>
        <v>46543</v>
      </c>
      <c r="N43" s="21"/>
      <c r="O43" s="14"/>
      <c r="P43" s="26"/>
      <c r="Q43" s="25">
        <f t="shared" si="1"/>
        <v>43400</v>
      </c>
    </row>
    <row r="44" spans="1:21" ht="15.75" x14ac:dyDescent="0.25">
      <c r="A44" s="16" t="s">
        <v>94</v>
      </c>
      <c r="B44" s="22" t="s">
        <v>93</v>
      </c>
      <c r="C44" s="23" t="s">
        <v>27</v>
      </c>
      <c r="D44" s="16">
        <v>30000</v>
      </c>
      <c r="E44" s="16">
        <v>33500</v>
      </c>
      <c r="F44" s="16"/>
      <c r="G44" s="15">
        <f t="shared" si="2"/>
        <v>33500</v>
      </c>
      <c r="H44" s="16"/>
      <c r="I44" s="16"/>
      <c r="J44" s="2" t="str">
        <f t="shared" si="6"/>
        <v/>
      </c>
      <c r="K44" s="7">
        <f t="shared" si="4"/>
        <v>3500</v>
      </c>
      <c r="L44" s="17">
        <v>46239</v>
      </c>
      <c r="M44" s="11" t="str">
        <f t="shared" si="5"/>
        <v/>
      </c>
      <c r="N44" s="21"/>
      <c r="O44" s="14"/>
      <c r="P44" s="14"/>
      <c r="Q44" s="25">
        <f t="shared" si="1"/>
        <v>33500</v>
      </c>
    </row>
    <row r="45" spans="1:21" ht="15.75" x14ac:dyDescent="0.25">
      <c r="A45" s="16" t="s">
        <v>95</v>
      </c>
      <c r="B45" s="22" t="s">
        <v>96</v>
      </c>
      <c r="C45" s="23" t="s">
        <v>65</v>
      </c>
      <c r="D45" s="16">
        <v>70000</v>
      </c>
      <c r="E45" s="16">
        <v>74000</v>
      </c>
      <c r="F45" s="16"/>
      <c r="G45" s="15">
        <f t="shared" si="2"/>
        <v>44000</v>
      </c>
      <c r="H45" s="16">
        <v>30000</v>
      </c>
      <c r="I45" s="16"/>
      <c r="J45" s="2" t="str">
        <f t="shared" si="6"/>
        <v/>
      </c>
      <c r="K45" s="7">
        <f t="shared" si="4"/>
        <v>4000</v>
      </c>
      <c r="L45" s="17">
        <v>46239</v>
      </c>
      <c r="M45" s="11">
        <f t="shared" si="5"/>
        <v>46239</v>
      </c>
      <c r="N45" s="21"/>
      <c r="O45" s="14"/>
      <c r="P45" s="14"/>
      <c r="Q45" s="25">
        <f t="shared" si="1"/>
        <v>74000</v>
      </c>
      <c r="T45" s="1" t="s">
        <v>113</v>
      </c>
    </row>
    <row r="46" spans="1:21" ht="15.75" x14ac:dyDescent="0.25">
      <c r="A46" s="16" t="s">
        <v>97</v>
      </c>
      <c r="B46" s="22" t="s">
        <v>96</v>
      </c>
      <c r="C46" s="23" t="s">
        <v>20</v>
      </c>
      <c r="D46" s="16">
        <v>47500</v>
      </c>
      <c r="E46" s="16">
        <v>69000</v>
      </c>
      <c r="F46" s="16">
        <v>40</v>
      </c>
      <c r="G46" s="15">
        <f t="shared" si="2"/>
        <v>96600</v>
      </c>
      <c r="H46" s="16"/>
      <c r="I46" s="16">
        <v>10</v>
      </c>
      <c r="J46" s="2">
        <f t="shared" si="6"/>
        <v>9660</v>
      </c>
      <c r="K46" s="7">
        <f t="shared" si="4"/>
        <v>49100</v>
      </c>
      <c r="L46" s="17">
        <v>46240</v>
      </c>
      <c r="M46" s="11">
        <f t="shared" si="5"/>
        <v>46544</v>
      </c>
      <c r="N46" s="21"/>
      <c r="O46" s="14"/>
      <c r="P46" s="14"/>
      <c r="Q46" s="25">
        <f t="shared" si="1"/>
        <v>96600</v>
      </c>
    </row>
    <row r="47" spans="1:21" ht="15.75" x14ac:dyDescent="0.25">
      <c r="A47" s="16" t="s">
        <v>98</v>
      </c>
      <c r="B47" s="22" t="s">
        <v>99</v>
      </c>
      <c r="C47" s="23" t="s">
        <v>20</v>
      </c>
      <c r="D47" s="16">
        <v>40000</v>
      </c>
      <c r="E47" s="16">
        <v>45000</v>
      </c>
      <c r="F47" s="16">
        <v>35</v>
      </c>
      <c r="G47" s="15">
        <f t="shared" si="2"/>
        <v>50750</v>
      </c>
      <c r="H47" s="16">
        <v>10000</v>
      </c>
      <c r="I47" s="16">
        <v>5</v>
      </c>
      <c r="J47" s="2">
        <f t="shared" si="6"/>
        <v>10150</v>
      </c>
      <c r="K47" s="7">
        <f t="shared" si="4"/>
        <v>20750</v>
      </c>
      <c r="L47" s="17">
        <v>46242</v>
      </c>
      <c r="M47" s="11">
        <f t="shared" si="5"/>
        <v>46395</v>
      </c>
      <c r="N47" s="21"/>
      <c r="O47" s="14"/>
      <c r="P47" s="14"/>
      <c r="Q47" s="25">
        <f t="shared" si="1"/>
        <v>60750</v>
      </c>
    </row>
    <row r="48" spans="1:21" ht="15.75" x14ac:dyDescent="0.25">
      <c r="A48" s="16" t="s">
        <v>100</v>
      </c>
      <c r="B48" s="22" t="s">
        <v>93</v>
      </c>
      <c r="C48" s="23" t="s">
        <v>20</v>
      </c>
      <c r="D48" s="16">
        <v>30000</v>
      </c>
      <c r="E48" s="16">
        <v>33500</v>
      </c>
      <c r="F48" s="16">
        <v>35</v>
      </c>
      <c r="G48" s="15">
        <f t="shared" si="2"/>
        <v>45225</v>
      </c>
      <c r="H48" s="16"/>
      <c r="I48" s="16">
        <v>6</v>
      </c>
      <c r="J48" s="2">
        <f t="shared" si="6"/>
        <v>7537.5</v>
      </c>
      <c r="K48" s="7">
        <f t="shared" si="4"/>
        <v>15225</v>
      </c>
      <c r="L48" s="17">
        <v>46242</v>
      </c>
      <c r="M48" s="11">
        <f t="shared" si="5"/>
        <v>46426</v>
      </c>
      <c r="N48" s="21"/>
      <c r="O48" s="14"/>
      <c r="P48" s="14"/>
      <c r="Q48" s="25">
        <f t="shared" si="1"/>
        <v>45225</v>
      </c>
    </row>
    <row r="49" spans="1:17" ht="15.75" x14ac:dyDescent="0.25">
      <c r="A49" s="16" t="s">
        <v>124</v>
      </c>
      <c r="B49" s="22" t="s">
        <v>103</v>
      </c>
      <c r="C49" s="23" t="s">
        <v>20</v>
      </c>
      <c r="D49" s="16">
        <v>48000</v>
      </c>
      <c r="E49" s="16">
        <v>51000</v>
      </c>
      <c r="F49" s="16">
        <v>35</v>
      </c>
      <c r="G49" s="15">
        <f t="shared" si="2"/>
        <v>68850</v>
      </c>
      <c r="H49" s="16"/>
      <c r="I49" s="16">
        <v>6</v>
      </c>
      <c r="J49" s="2">
        <f t="shared" si="6"/>
        <v>11475</v>
      </c>
      <c r="K49" s="7">
        <f t="shared" si="4"/>
        <v>20850</v>
      </c>
      <c r="L49" s="17">
        <v>46242</v>
      </c>
      <c r="M49" s="11">
        <f t="shared" si="5"/>
        <v>46426</v>
      </c>
      <c r="N49" s="21"/>
      <c r="O49" s="14"/>
      <c r="P49" s="14"/>
      <c r="Q49" s="25">
        <f t="shared" si="1"/>
        <v>68850</v>
      </c>
    </row>
    <row r="50" spans="1:17" ht="15.75" x14ac:dyDescent="0.25">
      <c r="A50" s="16" t="s">
        <v>101</v>
      </c>
      <c r="B50" s="24" t="s">
        <v>102</v>
      </c>
      <c r="C50" s="23" t="s">
        <v>20</v>
      </c>
      <c r="D50" s="16">
        <v>75000</v>
      </c>
      <c r="E50" s="16">
        <v>80000</v>
      </c>
      <c r="F50" s="16">
        <v>35</v>
      </c>
      <c r="G50" s="15">
        <f t="shared" si="2"/>
        <v>108000</v>
      </c>
      <c r="H50" s="16"/>
      <c r="I50" s="16">
        <v>6</v>
      </c>
      <c r="J50" s="2">
        <f t="shared" si="6"/>
        <v>18000</v>
      </c>
      <c r="K50" s="7">
        <f t="shared" si="4"/>
        <v>33000</v>
      </c>
      <c r="L50" s="17">
        <v>46242</v>
      </c>
      <c r="M50" s="11">
        <f t="shared" si="5"/>
        <v>46426</v>
      </c>
      <c r="N50" s="21"/>
      <c r="O50" s="14"/>
      <c r="P50" s="14"/>
      <c r="Q50" s="25">
        <f t="shared" si="1"/>
        <v>108000</v>
      </c>
    </row>
    <row r="51" spans="1:17" ht="15.75" x14ac:dyDescent="0.25">
      <c r="A51" s="16" t="s">
        <v>105</v>
      </c>
      <c r="B51" s="22" t="s">
        <v>104</v>
      </c>
      <c r="C51" s="23" t="s">
        <v>20</v>
      </c>
      <c r="D51" s="16">
        <v>37000</v>
      </c>
      <c r="E51" s="16">
        <v>40000</v>
      </c>
      <c r="F51" s="16">
        <v>35</v>
      </c>
      <c r="G51" s="15">
        <f t="shared" si="2"/>
        <v>54000</v>
      </c>
      <c r="H51" s="16"/>
      <c r="I51" s="16">
        <v>6</v>
      </c>
      <c r="J51" s="2">
        <f t="shared" si="6"/>
        <v>9000</v>
      </c>
      <c r="K51" s="7">
        <f t="shared" si="4"/>
        <v>17000</v>
      </c>
      <c r="L51" s="17">
        <v>46242</v>
      </c>
      <c r="M51" s="11">
        <f t="shared" si="5"/>
        <v>46426</v>
      </c>
      <c r="N51" s="21"/>
      <c r="O51" s="14"/>
      <c r="P51" s="14"/>
      <c r="Q51" s="25">
        <f t="shared" si="1"/>
        <v>54000</v>
      </c>
    </row>
    <row r="52" spans="1:17" ht="15.75" x14ac:dyDescent="0.25">
      <c r="A52" s="16" t="s">
        <v>106</v>
      </c>
      <c r="B52" s="22" t="s">
        <v>107</v>
      </c>
      <c r="C52" s="23" t="s">
        <v>20</v>
      </c>
      <c r="D52" s="16">
        <v>60000</v>
      </c>
      <c r="E52" s="16">
        <v>64000</v>
      </c>
      <c r="F52" s="16">
        <v>35</v>
      </c>
      <c r="G52" s="15">
        <f t="shared" si="2"/>
        <v>86400</v>
      </c>
      <c r="H52" s="16"/>
      <c r="I52" s="16">
        <v>4</v>
      </c>
      <c r="J52" s="2">
        <f t="shared" ref="J52:J60" si="11">IF(I52="","",G52/I52)</f>
        <v>21600</v>
      </c>
      <c r="K52" s="7">
        <f t="shared" si="4"/>
        <v>26400</v>
      </c>
      <c r="L52" s="17">
        <v>46242</v>
      </c>
      <c r="M52" s="11">
        <f t="shared" si="5"/>
        <v>46364</v>
      </c>
      <c r="N52" s="21"/>
      <c r="O52" s="14"/>
      <c r="P52" s="14"/>
      <c r="Q52" s="25">
        <f t="shared" si="1"/>
        <v>86400</v>
      </c>
    </row>
    <row r="53" spans="1:17" ht="15.75" x14ac:dyDescent="0.25">
      <c r="A53" s="16" t="s">
        <v>108</v>
      </c>
      <c r="B53" s="22" t="s">
        <v>138</v>
      </c>
      <c r="C53" s="23" t="s">
        <v>65</v>
      </c>
      <c r="D53" s="16">
        <v>16500</v>
      </c>
      <c r="E53" s="16">
        <v>20500</v>
      </c>
      <c r="F53" s="16"/>
      <c r="G53" s="15">
        <f t="shared" si="2"/>
        <v>20500</v>
      </c>
      <c r="H53" s="16"/>
      <c r="I53" s="16"/>
      <c r="J53" s="2" t="str">
        <f t="shared" si="11"/>
        <v/>
      </c>
      <c r="K53" s="7">
        <f t="shared" si="4"/>
        <v>4000</v>
      </c>
      <c r="L53" s="17">
        <v>46242</v>
      </c>
      <c r="M53" s="11">
        <f t="shared" si="5"/>
        <v>46242</v>
      </c>
      <c r="N53" s="21"/>
      <c r="O53" s="14"/>
      <c r="P53" s="14"/>
      <c r="Q53" s="25">
        <f t="shared" ref="Q53:Q85" si="12">IF(E53="","",E53*F53/100+E53)</f>
        <v>20500</v>
      </c>
    </row>
    <row r="54" spans="1:17" ht="15.75" x14ac:dyDescent="0.25">
      <c r="A54" s="16" t="s">
        <v>109</v>
      </c>
      <c r="B54" s="22" t="s">
        <v>114</v>
      </c>
      <c r="C54" s="23" t="s">
        <v>20</v>
      </c>
      <c r="D54" s="16">
        <v>92000</v>
      </c>
      <c r="E54" s="16">
        <v>106000</v>
      </c>
      <c r="F54" s="16">
        <v>40</v>
      </c>
      <c r="G54" s="15">
        <f t="shared" si="2"/>
        <v>148400</v>
      </c>
      <c r="H54" s="16"/>
      <c r="I54" s="16">
        <v>10</v>
      </c>
      <c r="J54" s="2">
        <f t="shared" si="11"/>
        <v>14840</v>
      </c>
      <c r="K54" s="7">
        <f t="shared" si="4"/>
        <v>56400</v>
      </c>
      <c r="L54" s="17">
        <v>46244</v>
      </c>
      <c r="M54" s="11">
        <f t="shared" si="5"/>
        <v>46548</v>
      </c>
      <c r="N54" s="21"/>
      <c r="O54" s="14"/>
      <c r="P54" s="14"/>
      <c r="Q54" s="25">
        <f t="shared" si="12"/>
        <v>148400</v>
      </c>
    </row>
    <row r="55" spans="1:17" ht="15.75" x14ac:dyDescent="0.25">
      <c r="A55" s="16" t="s">
        <v>110</v>
      </c>
      <c r="B55" s="22" t="s">
        <v>41</v>
      </c>
      <c r="C55" s="23" t="s">
        <v>20</v>
      </c>
      <c r="D55" s="16">
        <v>53000</v>
      </c>
      <c r="E55" s="16">
        <v>59500</v>
      </c>
      <c r="F55" s="16">
        <v>45</v>
      </c>
      <c r="G55" s="15">
        <f t="shared" si="2"/>
        <v>84000</v>
      </c>
      <c r="H55" s="16">
        <v>2275</v>
      </c>
      <c r="I55" s="16">
        <v>12</v>
      </c>
      <c r="J55" s="2">
        <f t="shared" si="11"/>
        <v>7000</v>
      </c>
      <c r="K55" s="7">
        <f t="shared" si="4"/>
        <v>33275</v>
      </c>
      <c r="L55" s="17">
        <v>46244</v>
      </c>
      <c r="M55" s="11">
        <f t="shared" si="5"/>
        <v>46609</v>
      </c>
      <c r="N55" s="21"/>
      <c r="O55" s="14"/>
      <c r="P55" s="14"/>
      <c r="Q55" s="25">
        <f t="shared" si="12"/>
        <v>86275</v>
      </c>
    </row>
    <row r="56" spans="1:17" ht="15.75" x14ac:dyDescent="0.25">
      <c r="A56" s="16" t="s">
        <v>111</v>
      </c>
      <c r="B56" s="22" t="s">
        <v>66</v>
      </c>
      <c r="C56" s="23" t="s">
        <v>20</v>
      </c>
      <c r="D56" s="16">
        <v>109000</v>
      </c>
      <c r="E56" s="16">
        <v>121000</v>
      </c>
      <c r="F56" s="16">
        <v>45</v>
      </c>
      <c r="G56" s="15">
        <f t="shared" si="2"/>
        <v>175450</v>
      </c>
      <c r="H56" s="16"/>
      <c r="I56" s="16">
        <v>12</v>
      </c>
      <c r="J56" s="2">
        <f t="shared" si="11"/>
        <v>14620.833333333334</v>
      </c>
      <c r="K56" s="7">
        <f t="shared" si="4"/>
        <v>66450</v>
      </c>
      <c r="L56" s="17">
        <v>46244</v>
      </c>
      <c r="M56" s="11">
        <f t="shared" si="5"/>
        <v>46609</v>
      </c>
      <c r="N56" s="21"/>
      <c r="O56" s="14"/>
      <c r="P56" s="14"/>
      <c r="Q56" s="25">
        <f t="shared" si="12"/>
        <v>175450</v>
      </c>
    </row>
    <row r="57" spans="1:17" ht="15.75" x14ac:dyDescent="0.25">
      <c r="A57" s="16" t="s">
        <v>112</v>
      </c>
      <c r="B57" s="22" t="s">
        <v>129</v>
      </c>
      <c r="C57" s="23" t="s">
        <v>65</v>
      </c>
      <c r="D57" s="16">
        <v>40000</v>
      </c>
      <c r="E57" s="16">
        <v>43000</v>
      </c>
      <c r="F57" s="16"/>
      <c r="G57" s="15">
        <f t="shared" si="2"/>
        <v>43000</v>
      </c>
      <c r="H57" s="16"/>
      <c r="I57" s="16"/>
      <c r="J57" s="2" t="str">
        <f t="shared" si="11"/>
        <v/>
      </c>
      <c r="K57" s="7">
        <f t="shared" si="4"/>
        <v>3000</v>
      </c>
      <c r="L57" s="17">
        <v>46244</v>
      </c>
      <c r="M57" s="11">
        <f t="shared" si="5"/>
        <v>46244</v>
      </c>
      <c r="N57" s="21"/>
      <c r="O57" s="14"/>
      <c r="P57" s="14"/>
      <c r="Q57" s="25">
        <f t="shared" si="12"/>
        <v>43000</v>
      </c>
    </row>
    <row r="58" spans="1:17" ht="15.75" x14ac:dyDescent="0.25">
      <c r="A58" s="16" t="s">
        <v>17</v>
      </c>
      <c r="B58" s="22" t="s">
        <v>115</v>
      </c>
      <c r="C58" s="23" t="s">
        <v>65</v>
      </c>
      <c r="D58" s="16">
        <v>18500</v>
      </c>
      <c r="E58" s="16">
        <v>22500</v>
      </c>
      <c r="F58" s="16"/>
      <c r="G58" s="15">
        <f t="shared" si="2"/>
        <v>22500</v>
      </c>
      <c r="H58" s="16"/>
      <c r="I58" s="16"/>
      <c r="J58" s="2" t="str">
        <f t="shared" si="11"/>
        <v/>
      </c>
      <c r="K58" s="7">
        <f t="shared" si="4"/>
        <v>4000</v>
      </c>
      <c r="L58" s="17">
        <v>46244</v>
      </c>
      <c r="M58" s="11">
        <f t="shared" si="5"/>
        <v>46244</v>
      </c>
      <c r="N58" s="21"/>
      <c r="O58" s="14"/>
      <c r="P58" s="14"/>
      <c r="Q58" s="25">
        <f t="shared" si="12"/>
        <v>22500</v>
      </c>
    </row>
    <row r="59" spans="1:17" ht="15.75" x14ac:dyDescent="0.25">
      <c r="A59" s="16" t="s">
        <v>116</v>
      </c>
      <c r="B59" s="22" t="s">
        <v>117</v>
      </c>
      <c r="C59" s="23" t="s">
        <v>65</v>
      </c>
      <c r="D59" s="16">
        <v>117000</v>
      </c>
      <c r="E59" s="16">
        <v>140000</v>
      </c>
      <c r="F59" s="16"/>
      <c r="G59" s="15">
        <f t="shared" si="2"/>
        <v>140000</v>
      </c>
      <c r="H59" s="16"/>
      <c r="I59" s="16"/>
      <c r="J59" s="2" t="str">
        <f t="shared" si="11"/>
        <v/>
      </c>
      <c r="K59" s="7">
        <f t="shared" si="4"/>
        <v>23000</v>
      </c>
      <c r="L59" s="17">
        <v>46244</v>
      </c>
      <c r="M59" s="11">
        <f t="shared" si="5"/>
        <v>46244</v>
      </c>
      <c r="N59" s="21"/>
      <c r="O59" s="14"/>
      <c r="P59" s="14"/>
      <c r="Q59" s="25">
        <f t="shared" si="12"/>
        <v>140000</v>
      </c>
    </row>
    <row r="60" spans="1:17" ht="15.75" x14ac:dyDescent="0.25">
      <c r="A60" s="16" t="s">
        <v>118</v>
      </c>
      <c r="B60" s="22" t="s">
        <v>119</v>
      </c>
      <c r="C60" s="23" t="s">
        <v>27</v>
      </c>
      <c r="D60" s="16">
        <v>90000</v>
      </c>
      <c r="E60" s="16">
        <v>101000</v>
      </c>
      <c r="F60" s="16"/>
      <c r="G60" s="15">
        <f t="shared" si="2"/>
        <v>101000</v>
      </c>
      <c r="H60" s="16"/>
      <c r="I60" s="16"/>
      <c r="J60" s="2" t="str">
        <f t="shared" si="11"/>
        <v/>
      </c>
      <c r="K60" s="7">
        <f t="shared" si="4"/>
        <v>11000</v>
      </c>
      <c r="L60" s="17">
        <v>46244</v>
      </c>
      <c r="M60" s="11" t="str">
        <f t="shared" ref="M60:M65" si="13">IF(OR(C60="كاش", L60=""), "", EDATE(L60, I60))</f>
        <v/>
      </c>
      <c r="N60" s="21"/>
      <c r="O60" s="14"/>
      <c r="P60" s="14"/>
      <c r="Q60" s="25">
        <f t="shared" si="12"/>
        <v>101000</v>
      </c>
    </row>
    <row r="61" spans="1:17" ht="15.75" x14ac:dyDescent="0.25">
      <c r="A61" s="16" t="s">
        <v>118</v>
      </c>
      <c r="B61" s="22" t="s">
        <v>120</v>
      </c>
      <c r="C61" s="23" t="s">
        <v>27</v>
      </c>
      <c r="D61" s="16">
        <v>21000</v>
      </c>
      <c r="E61" s="16">
        <v>24500</v>
      </c>
      <c r="F61" s="16"/>
      <c r="G61" s="15"/>
      <c r="H61" s="16"/>
      <c r="I61" s="16"/>
      <c r="J61" s="2"/>
      <c r="K61" s="7"/>
      <c r="L61" s="17">
        <v>46244</v>
      </c>
      <c r="M61" s="11" t="str">
        <f t="shared" si="13"/>
        <v/>
      </c>
      <c r="N61" s="21"/>
      <c r="O61" s="14"/>
      <c r="P61" s="14"/>
      <c r="Q61" s="25">
        <f t="shared" si="12"/>
        <v>24500</v>
      </c>
    </row>
    <row r="62" spans="1:17" ht="15.75" x14ac:dyDescent="0.25">
      <c r="A62" s="16" t="s">
        <v>121</v>
      </c>
      <c r="B62" s="22" t="s">
        <v>122</v>
      </c>
      <c r="C62" s="23" t="s">
        <v>20</v>
      </c>
      <c r="D62" s="16">
        <v>71120</v>
      </c>
      <c r="E62" s="16">
        <v>71120</v>
      </c>
      <c r="F62" s="16">
        <v>35</v>
      </c>
      <c r="G62" s="15">
        <f t="shared" ref="G62:G65" si="14">IF(E62="","",E62*F62/100+E62-H62)</f>
        <v>96000</v>
      </c>
      <c r="H62" s="16">
        <v>12</v>
      </c>
      <c r="I62" s="16">
        <v>6</v>
      </c>
      <c r="J62" s="2">
        <f t="shared" ref="J62:J65" si="15">IF(I62="","",G62/I62)</f>
        <v>16000</v>
      </c>
      <c r="K62" s="7">
        <f t="shared" ref="K62:K65" si="16">IF(G62="","",G62+H62-D62)</f>
        <v>24892</v>
      </c>
      <c r="L62" s="17">
        <v>46246</v>
      </c>
      <c r="M62" s="11">
        <f t="shared" si="13"/>
        <v>46430</v>
      </c>
      <c r="N62" s="21"/>
      <c r="O62" s="14"/>
      <c r="P62" s="14"/>
      <c r="Q62" s="25">
        <f t="shared" si="12"/>
        <v>96012</v>
      </c>
    </row>
    <row r="63" spans="1:17" ht="15.75" x14ac:dyDescent="0.25">
      <c r="A63" s="16" t="s">
        <v>123</v>
      </c>
      <c r="B63" s="22" t="s">
        <v>127</v>
      </c>
      <c r="C63" s="23" t="s">
        <v>20</v>
      </c>
      <c r="D63" s="16">
        <v>39000</v>
      </c>
      <c r="E63" s="16">
        <v>46000</v>
      </c>
      <c r="F63" s="16">
        <v>35</v>
      </c>
      <c r="G63" s="15">
        <f t="shared" si="14"/>
        <v>62100</v>
      </c>
      <c r="H63" s="16"/>
      <c r="I63" s="16">
        <v>6</v>
      </c>
      <c r="J63" s="2">
        <f t="shared" si="15"/>
        <v>10350</v>
      </c>
      <c r="K63" s="7">
        <f t="shared" si="16"/>
        <v>23100</v>
      </c>
      <c r="L63" s="17">
        <v>46246</v>
      </c>
      <c r="M63" s="11">
        <f t="shared" si="13"/>
        <v>46430</v>
      </c>
      <c r="N63" s="21"/>
      <c r="O63" s="14"/>
      <c r="P63" s="14"/>
      <c r="Q63" s="25">
        <f t="shared" si="12"/>
        <v>62100</v>
      </c>
    </row>
    <row r="64" spans="1:17" ht="15.75" x14ac:dyDescent="0.25">
      <c r="A64" s="16" t="s">
        <v>125</v>
      </c>
      <c r="B64" s="22" t="s">
        <v>126</v>
      </c>
      <c r="C64" s="23" t="s">
        <v>20</v>
      </c>
      <c r="D64" s="16">
        <v>41000</v>
      </c>
      <c r="E64" s="16">
        <v>45000</v>
      </c>
      <c r="F64" s="16">
        <v>35</v>
      </c>
      <c r="G64" s="15">
        <f t="shared" si="14"/>
        <v>60750</v>
      </c>
      <c r="H64" s="16"/>
      <c r="I64" s="16">
        <v>6</v>
      </c>
      <c r="J64" s="2">
        <f t="shared" si="15"/>
        <v>10125</v>
      </c>
      <c r="K64" s="7">
        <f t="shared" si="16"/>
        <v>19750</v>
      </c>
      <c r="L64" s="17">
        <v>46246</v>
      </c>
      <c r="M64" s="11">
        <f t="shared" si="13"/>
        <v>46430</v>
      </c>
      <c r="N64" s="21"/>
      <c r="O64" s="14"/>
      <c r="P64" s="14"/>
      <c r="Q64" s="25">
        <f t="shared" si="12"/>
        <v>60750</v>
      </c>
    </row>
    <row r="65" spans="1:17" ht="15.75" x14ac:dyDescent="0.25">
      <c r="A65" s="16" t="s">
        <v>128</v>
      </c>
      <c r="B65" s="22" t="s">
        <v>129</v>
      </c>
      <c r="C65" s="23" t="s">
        <v>20</v>
      </c>
      <c r="D65" s="16">
        <v>40000</v>
      </c>
      <c r="E65" s="16">
        <v>43000</v>
      </c>
      <c r="F65" s="16">
        <v>35</v>
      </c>
      <c r="G65" s="15">
        <f t="shared" si="14"/>
        <v>57500</v>
      </c>
      <c r="H65" s="16">
        <v>550</v>
      </c>
      <c r="I65" s="16">
        <v>5</v>
      </c>
      <c r="J65" s="2">
        <f t="shared" si="15"/>
        <v>11500</v>
      </c>
      <c r="K65" s="7">
        <f t="shared" si="16"/>
        <v>18050</v>
      </c>
      <c r="L65" s="17">
        <v>46246</v>
      </c>
      <c r="M65" s="11">
        <f t="shared" si="13"/>
        <v>46399</v>
      </c>
      <c r="N65" s="21"/>
      <c r="O65" s="14"/>
      <c r="P65" s="14"/>
      <c r="Q65" s="25">
        <f t="shared" si="12"/>
        <v>58050</v>
      </c>
    </row>
    <row r="66" spans="1:17" ht="15.75" x14ac:dyDescent="0.25">
      <c r="A66" s="16" t="s">
        <v>130</v>
      </c>
      <c r="B66" s="22" t="s">
        <v>143</v>
      </c>
      <c r="C66" s="23" t="s">
        <v>20</v>
      </c>
      <c r="D66" s="16">
        <v>105000</v>
      </c>
      <c r="E66" s="16">
        <v>120000</v>
      </c>
      <c r="F66" s="16">
        <v>35</v>
      </c>
      <c r="G66" s="15">
        <f t="shared" ref="G66:G68" si="17">IF(E66="","",E66*F66/100+E66-H66)</f>
        <v>140000</v>
      </c>
      <c r="H66" s="16">
        <v>22000</v>
      </c>
      <c r="I66" s="16">
        <v>7</v>
      </c>
      <c r="J66" s="2">
        <f t="shared" ref="J66:J68" si="18">IF(I66="","",G66/I66)</f>
        <v>20000</v>
      </c>
      <c r="K66" s="7">
        <f t="shared" ref="K66:K68" si="19">IF(G66="","",G66+H66-D66)</f>
        <v>57000</v>
      </c>
      <c r="L66" s="17">
        <v>46250</v>
      </c>
      <c r="M66" s="11">
        <f t="shared" ref="M66" si="20">IF(OR(C66="كاش", L66=""), "", EDATE(L66, I66))</f>
        <v>46462</v>
      </c>
      <c r="N66" s="21"/>
      <c r="O66" s="14"/>
      <c r="P66" s="14"/>
      <c r="Q66" s="25">
        <f t="shared" si="12"/>
        <v>162000</v>
      </c>
    </row>
    <row r="67" spans="1:17" ht="15.75" x14ac:dyDescent="0.25">
      <c r="A67" s="16" t="s">
        <v>131</v>
      </c>
      <c r="B67" s="22" t="s">
        <v>138</v>
      </c>
      <c r="C67" s="23" t="s">
        <v>27</v>
      </c>
      <c r="D67" s="16">
        <v>16500</v>
      </c>
      <c r="E67" s="16"/>
      <c r="F67" s="16"/>
      <c r="G67" s="15" t="str">
        <f t="shared" ref="G67" si="21">IF(E67="","",E67*F67/100+E67-H67)</f>
        <v/>
      </c>
      <c r="H67" s="16"/>
      <c r="I67" s="16"/>
      <c r="J67" s="2" t="str">
        <f t="shared" ref="J67" si="22">IF(I67="","",G67/I67)</f>
        <v/>
      </c>
      <c r="K67" s="7" t="str">
        <f t="shared" ref="K67" si="23">IF(G67="","",G67+H67-D67)</f>
        <v/>
      </c>
      <c r="L67" s="17">
        <v>46250</v>
      </c>
      <c r="M67" s="11" t="str">
        <f t="shared" ref="M67:M73" si="24">IF(OR(C67="كاش", L67=""), "", EDATE(L67, I67))</f>
        <v/>
      </c>
      <c r="N67" s="21"/>
      <c r="O67" s="14"/>
      <c r="P67" s="14"/>
      <c r="Q67" s="25" t="str">
        <f t="shared" si="12"/>
        <v/>
      </c>
    </row>
    <row r="68" spans="1:17" ht="15.75" x14ac:dyDescent="0.25">
      <c r="A68" s="16" t="s">
        <v>132</v>
      </c>
      <c r="B68" s="22" t="s">
        <v>151</v>
      </c>
      <c r="C68" s="23" t="s">
        <v>27</v>
      </c>
      <c r="D68" s="16">
        <v>35000</v>
      </c>
      <c r="E68" s="16">
        <v>39000</v>
      </c>
      <c r="F68" s="16"/>
      <c r="G68" s="15">
        <f t="shared" si="17"/>
        <v>39000</v>
      </c>
      <c r="H68" s="16"/>
      <c r="I68" s="16"/>
      <c r="J68" s="2" t="str">
        <f t="shared" si="18"/>
        <v/>
      </c>
      <c r="K68" s="7">
        <f t="shared" si="19"/>
        <v>4000</v>
      </c>
      <c r="L68" s="17">
        <v>46250</v>
      </c>
      <c r="M68" s="11" t="str">
        <f t="shared" si="24"/>
        <v/>
      </c>
      <c r="N68" s="21"/>
      <c r="O68" s="14"/>
      <c r="P68" s="14"/>
      <c r="Q68" s="25">
        <f t="shared" si="12"/>
        <v>39000</v>
      </c>
    </row>
    <row r="69" spans="1:17" ht="15.75" x14ac:dyDescent="0.25">
      <c r="A69" s="16" t="s">
        <v>133</v>
      </c>
      <c r="B69" s="22" t="s">
        <v>137</v>
      </c>
      <c r="C69" s="23" t="s">
        <v>20</v>
      </c>
      <c r="D69" s="16">
        <v>118000</v>
      </c>
      <c r="E69" s="16">
        <v>133000</v>
      </c>
      <c r="F69" s="16">
        <v>35</v>
      </c>
      <c r="G69" s="15">
        <f t="shared" ref="G69" si="25">IF(E69="","",E69*F69/100+E69-H69)</f>
        <v>157550</v>
      </c>
      <c r="H69" s="16">
        <v>22000</v>
      </c>
      <c r="I69" s="16">
        <v>7</v>
      </c>
      <c r="J69" s="2">
        <f t="shared" ref="J69" si="26">IF(I69="","",G69/I69)</f>
        <v>22507.142857142859</v>
      </c>
      <c r="K69" s="7">
        <f t="shared" ref="K69" si="27">IF(G69="","",G69+H69-D69)</f>
        <v>61550</v>
      </c>
      <c r="L69" s="17">
        <v>46250</v>
      </c>
      <c r="M69" s="11">
        <f t="shared" si="24"/>
        <v>46462</v>
      </c>
      <c r="N69" s="21"/>
      <c r="O69" s="14"/>
      <c r="P69" s="14"/>
      <c r="Q69" s="25">
        <f t="shared" si="12"/>
        <v>179550</v>
      </c>
    </row>
    <row r="70" spans="1:17" ht="15.75" x14ac:dyDescent="0.25">
      <c r="A70" s="16" t="s">
        <v>133</v>
      </c>
      <c r="B70" s="22"/>
      <c r="C70" s="23" t="s">
        <v>65</v>
      </c>
      <c r="D70" s="16"/>
      <c r="E70" s="16"/>
      <c r="F70" s="16"/>
      <c r="G70" s="15"/>
      <c r="H70" s="16"/>
      <c r="I70" s="16"/>
      <c r="J70" s="2"/>
      <c r="K70" s="7"/>
      <c r="L70" s="17">
        <v>46250</v>
      </c>
      <c r="M70" s="11">
        <f t="shared" si="24"/>
        <v>46250</v>
      </c>
      <c r="N70" s="21"/>
      <c r="O70" s="14"/>
      <c r="P70" s="14"/>
      <c r="Q70" s="25" t="str">
        <f t="shared" si="12"/>
        <v/>
      </c>
    </row>
    <row r="71" spans="1:17" ht="15.75" x14ac:dyDescent="0.25">
      <c r="A71" s="16" t="s">
        <v>134</v>
      </c>
      <c r="B71" s="22" t="s">
        <v>26</v>
      </c>
      <c r="C71" s="23" t="s">
        <v>27</v>
      </c>
      <c r="D71" s="16">
        <v>29500</v>
      </c>
      <c r="E71" s="16">
        <v>33000</v>
      </c>
      <c r="F71" s="16"/>
      <c r="G71" s="15"/>
      <c r="H71" s="16"/>
      <c r="I71" s="16"/>
      <c r="J71" s="2"/>
      <c r="K71" s="7"/>
      <c r="L71" s="17">
        <v>46250</v>
      </c>
      <c r="M71" s="11" t="str">
        <f t="shared" si="24"/>
        <v/>
      </c>
      <c r="N71" s="21"/>
      <c r="O71" s="14"/>
      <c r="P71" s="14"/>
      <c r="Q71" s="25">
        <f t="shared" si="12"/>
        <v>33000</v>
      </c>
    </row>
    <row r="72" spans="1:17" ht="15.75" x14ac:dyDescent="0.25">
      <c r="A72" s="16" t="s">
        <v>135</v>
      </c>
      <c r="B72" s="22" t="s">
        <v>136</v>
      </c>
      <c r="C72" s="23" t="s">
        <v>27</v>
      </c>
      <c r="D72" s="16">
        <v>61000</v>
      </c>
      <c r="E72" s="16">
        <v>69000</v>
      </c>
      <c r="F72" s="16"/>
      <c r="G72" s="15">
        <f t="shared" ref="G72:G73" si="28">IF(E72="","",E72*F72/100+E72-H72)</f>
        <v>47000</v>
      </c>
      <c r="H72" s="16">
        <v>22000</v>
      </c>
      <c r="I72" s="16">
        <v>7</v>
      </c>
      <c r="J72" s="2">
        <f t="shared" ref="J72:J73" si="29">IF(I72="","",G72/I72)</f>
        <v>6714.2857142857147</v>
      </c>
      <c r="K72" s="7">
        <f t="shared" ref="K72:K73" si="30">IF(G72="","",G72+H72-D72)</f>
        <v>8000</v>
      </c>
      <c r="L72" s="17">
        <v>46250</v>
      </c>
      <c r="M72" s="11" t="str">
        <f t="shared" si="24"/>
        <v/>
      </c>
      <c r="N72" s="21"/>
      <c r="O72" s="14"/>
      <c r="P72" s="14"/>
      <c r="Q72" s="25">
        <f t="shared" si="12"/>
        <v>69000</v>
      </c>
    </row>
    <row r="73" spans="1:17" ht="15.75" x14ac:dyDescent="0.25">
      <c r="A73" s="16" t="s">
        <v>139</v>
      </c>
      <c r="B73" s="22" t="s">
        <v>144</v>
      </c>
      <c r="C73" s="23" t="s">
        <v>65</v>
      </c>
      <c r="D73" s="16">
        <v>14500</v>
      </c>
      <c r="E73" s="16">
        <v>18000</v>
      </c>
      <c r="F73" s="16"/>
      <c r="G73" s="15">
        <f t="shared" si="28"/>
        <v>8000</v>
      </c>
      <c r="H73" s="16">
        <v>10000</v>
      </c>
      <c r="I73" s="16"/>
      <c r="J73" s="2" t="str">
        <f t="shared" si="29"/>
        <v/>
      </c>
      <c r="K73" s="7">
        <f t="shared" si="30"/>
        <v>3500</v>
      </c>
      <c r="L73" s="17">
        <v>46250</v>
      </c>
      <c r="M73" s="11">
        <f t="shared" si="24"/>
        <v>46250</v>
      </c>
      <c r="N73" s="21"/>
      <c r="O73" s="14"/>
      <c r="P73" s="14"/>
      <c r="Q73" s="25">
        <f t="shared" si="12"/>
        <v>18000</v>
      </c>
    </row>
    <row r="74" spans="1:17" ht="15.75" x14ac:dyDescent="0.25">
      <c r="A74" s="16" t="s">
        <v>140</v>
      </c>
      <c r="B74" s="22" t="s">
        <v>145</v>
      </c>
      <c r="C74" s="23" t="s">
        <v>20</v>
      </c>
      <c r="D74" s="16">
        <v>32500</v>
      </c>
      <c r="E74" s="16">
        <v>38000</v>
      </c>
      <c r="F74" s="16">
        <v>35</v>
      </c>
      <c r="G74" s="15">
        <f t="shared" ref="G74:G79" si="31">IF(E74="","",E74*F74/100+E74-H74)</f>
        <v>51300</v>
      </c>
      <c r="H74" s="16"/>
      <c r="I74" s="16">
        <v>6</v>
      </c>
      <c r="J74" s="2">
        <f t="shared" ref="J74:J79" si="32">IF(I74="","",G74/I74)</f>
        <v>8550</v>
      </c>
      <c r="K74" s="7">
        <f t="shared" ref="K74:K79" si="33">IF(G74="","",G74+H74-D74)</f>
        <v>18800</v>
      </c>
      <c r="L74" s="17">
        <v>46250</v>
      </c>
      <c r="M74" s="11">
        <f t="shared" ref="M74:M80" si="34">IF(OR(C74="كاش", L74=""), "", EDATE(L74, I74))</f>
        <v>46434</v>
      </c>
      <c r="N74" s="21"/>
      <c r="O74" s="14"/>
      <c r="P74" s="14"/>
      <c r="Q74" s="25">
        <f t="shared" si="12"/>
        <v>51300</v>
      </c>
    </row>
    <row r="75" spans="1:17" ht="15.75" x14ac:dyDescent="0.25">
      <c r="A75" s="16" t="s">
        <v>141</v>
      </c>
      <c r="B75" s="22" t="s">
        <v>142</v>
      </c>
      <c r="C75" s="23"/>
      <c r="D75" s="16"/>
      <c r="E75" s="16"/>
      <c r="F75" s="16"/>
      <c r="G75" s="15" t="str">
        <f t="shared" si="31"/>
        <v/>
      </c>
      <c r="H75" s="16"/>
      <c r="I75" s="16"/>
      <c r="J75" s="2" t="str">
        <f t="shared" si="32"/>
        <v/>
      </c>
      <c r="K75" s="7" t="str">
        <f t="shared" si="33"/>
        <v/>
      </c>
      <c r="L75" s="17">
        <v>46256</v>
      </c>
      <c r="M75" s="11">
        <f t="shared" si="34"/>
        <v>46256</v>
      </c>
      <c r="N75" s="21"/>
      <c r="O75" s="14"/>
      <c r="P75" s="14"/>
      <c r="Q75" s="25" t="str">
        <f t="shared" si="12"/>
        <v/>
      </c>
    </row>
    <row r="76" spans="1:17" ht="15.75" x14ac:dyDescent="0.25">
      <c r="A76" s="16" t="s">
        <v>147</v>
      </c>
      <c r="B76" s="22" t="s">
        <v>148</v>
      </c>
      <c r="C76" s="23" t="s">
        <v>65</v>
      </c>
      <c r="D76" s="16">
        <v>45000</v>
      </c>
      <c r="E76" s="16">
        <v>57000</v>
      </c>
      <c r="F76" s="16"/>
      <c r="G76" s="15">
        <f t="shared" si="31"/>
        <v>57000</v>
      </c>
      <c r="H76" s="16"/>
      <c r="I76" s="16"/>
      <c r="J76" s="2" t="str">
        <f t="shared" si="32"/>
        <v/>
      </c>
      <c r="K76" s="7">
        <f t="shared" si="33"/>
        <v>12000</v>
      </c>
      <c r="L76" s="17">
        <v>46256</v>
      </c>
      <c r="M76" s="11">
        <f t="shared" si="34"/>
        <v>46256</v>
      </c>
      <c r="N76" s="21"/>
      <c r="O76" s="14"/>
      <c r="P76" s="14"/>
      <c r="Q76" s="25">
        <f t="shared" si="12"/>
        <v>57000</v>
      </c>
    </row>
    <row r="77" spans="1:17" ht="15.75" x14ac:dyDescent="0.25">
      <c r="A77" s="16" t="s">
        <v>55</v>
      </c>
      <c r="B77" s="22" t="s">
        <v>149</v>
      </c>
      <c r="C77" s="23" t="s">
        <v>65</v>
      </c>
      <c r="D77" s="16">
        <v>20000</v>
      </c>
      <c r="E77" s="16">
        <v>22500</v>
      </c>
      <c r="F77" s="16"/>
      <c r="G77" s="15">
        <f t="shared" si="31"/>
        <v>12500</v>
      </c>
      <c r="H77" s="16">
        <v>10000</v>
      </c>
      <c r="I77" s="16"/>
      <c r="J77" s="2" t="str">
        <f t="shared" si="32"/>
        <v/>
      </c>
      <c r="K77" s="7">
        <f t="shared" si="33"/>
        <v>2500</v>
      </c>
      <c r="L77" s="17">
        <v>46256</v>
      </c>
      <c r="M77" s="11">
        <f t="shared" si="34"/>
        <v>46256</v>
      </c>
      <c r="N77" s="21"/>
      <c r="O77" s="14"/>
      <c r="P77" s="14"/>
      <c r="Q77" s="25">
        <f t="shared" si="12"/>
        <v>22500</v>
      </c>
    </row>
    <row r="78" spans="1:17" ht="15.75" x14ac:dyDescent="0.25">
      <c r="A78" s="16" t="s">
        <v>150</v>
      </c>
      <c r="B78" s="22" t="s">
        <v>144</v>
      </c>
      <c r="C78" s="23" t="s">
        <v>27</v>
      </c>
      <c r="D78" s="16">
        <v>14500</v>
      </c>
      <c r="E78" s="16">
        <v>18000</v>
      </c>
      <c r="F78" s="16"/>
      <c r="G78" s="15">
        <f t="shared" si="31"/>
        <v>18000</v>
      </c>
      <c r="H78" s="16"/>
      <c r="I78" s="16"/>
      <c r="J78" s="2" t="str">
        <f t="shared" si="32"/>
        <v/>
      </c>
      <c r="K78" s="7">
        <f t="shared" si="33"/>
        <v>3500</v>
      </c>
      <c r="L78" s="17">
        <v>46256</v>
      </c>
      <c r="M78" s="11" t="str">
        <f t="shared" si="34"/>
        <v/>
      </c>
      <c r="N78" s="21"/>
      <c r="O78" s="14"/>
      <c r="P78" s="14"/>
      <c r="Q78" s="25">
        <f t="shared" si="12"/>
        <v>18000</v>
      </c>
    </row>
    <row r="79" spans="1:17" ht="15.75" x14ac:dyDescent="0.25">
      <c r="A79" s="16" t="s">
        <v>59</v>
      </c>
      <c r="B79" s="22" t="s">
        <v>149</v>
      </c>
      <c r="C79" s="23" t="s">
        <v>65</v>
      </c>
      <c r="D79" s="16">
        <v>20000</v>
      </c>
      <c r="E79" s="16">
        <v>22500</v>
      </c>
      <c r="F79" s="16"/>
      <c r="G79" s="15">
        <f t="shared" si="31"/>
        <v>22500</v>
      </c>
      <c r="H79" s="16"/>
      <c r="I79" s="16"/>
      <c r="J79" s="2" t="str">
        <f t="shared" si="32"/>
        <v/>
      </c>
      <c r="K79" s="7">
        <f t="shared" si="33"/>
        <v>2500</v>
      </c>
      <c r="L79" s="17">
        <v>46256</v>
      </c>
      <c r="M79" s="11">
        <f t="shared" si="34"/>
        <v>46256</v>
      </c>
      <c r="N79" s="21"/>
      <c r="O79" s="14"/>
      <c r="P79" s="14"/>
      <c r="Q79" s="25">
        <f t="shared" si="12"/>
        <v>22500</v>
      </c>
    </row>
    <row r="80" spans="1:17" ht="15.75" x14ac:dyDescent="0.25">
      <c r="A80" s="16" t="s">
        <v>152</v>
      </c>
      <c r="B80" s="22" t="s">
        <v>153</v>
      </c>
      <c r="C80" s="23" t="s">
        <v>20</v>
      </c>
      <c r="D80" s="16">
        <v>80000</v>
      </c>
      <c r="E80" s="16">
        <v>96000</v>
      </c>
      <c r="F80" s="16"/>
      <c r="G80" s="15">
        <f t="shared" ref="G80:G83" si="35">IF(E80="","",E80*F80/100+E80-H80)</f>
        <v>96000</v>
      </c>
      <c r="H80" s="16"/>
      <c r="I80" s="16">
        <v>10</v>
      </c>
      <c r="J80" s="2">
        <f t="shared" ref="J80:J87" si="36">IF(I80="","",G80/I80)</f>
        <v>9600</v>
      </c>
      <c r="K80" s="7">
        <f t="shared" ref="K80:K87" si="37">IF(G80="","",G80+H80-D80)</f>
        <v>16000</v>
      </c>
      <c r="L80" s="17">
        <v>46260</v>
      </c>
      <c r="M80" s="11">
        <f t="shared" si="34"/>
        <v>46564</v>
      </c>
      <c r="N80" s="21"/>
      <c r="O80" s="14"/>
      <c r="P80" s="14"/>
      <c r="Q80" s="25">
        <f t="shared" si="12"/>
        <v>96000</v>
      </c>
    </row>
    <row r="81" spans="1:17" ht="15.75" x14ac:dyDescent="0.25">
      <c r="A81" s="16" t="s">
        <v>154</v>
      </c>
      <c r="B81" s="22" t="s">
        <v>155</v>
      </c>
      <c r="C81" s="23" t="s">
        <v>27</v>
      </c>
      <c r="D81" s="16">
        <v>36000</v>
      </c>
      <c r="E81" s="16">
        <v>38000</v>
      </c>
      <c r="F81" s="16"/>
      <c r="G81" s="15">
        <f t="shared" si="35"/>
        <v>38000</v>
      </c>
      <c r="H81" s="16"/>
      <c r="I81" s="16"/>
      <c r="J81" s="2"/>
      <c r="K81" s="7">
        <f t="shared" si="37"/>
        <v>2000</v>
      </c>
      <c r="L81" s="17">
        <v>46265</v>
      </c>
      <c r="M81" s="11"/>
      <c r="N81" s="21"/>
      <c r="O81" s="14"/>
      <c r="P81" s="14"/>
      <c r="Q81" s="25">
        <f t="shared" si="12"/>
        <v>38000</v>
      </c>
    </row>
    <row r="82" spans="1:17" ht="15.75" x14ac:dyDescent="0.25">
      <c r="A82" s="16" t="s">
        <v>156</v>
      </c>
      <c r="B82" s="22" t="s">
        <v>157</v>
      </c>
      <c r="C82" s="23" t="s">
        <v>20</v>
      </c>
      <c r="D82" s="16">
        <v>27000</v>
      </c>
      <c r="E82" s="16">
        <v>31000</v>
      </c>
      <c r="F82" s="16">
        <v>35</v>
      </c>
      <c r="G82" s="15">
        <f t="shared" si="35"/>
        <v>41850</v>
      </c>
      <c r="H82" s="16"/>
      <c r="I82" s="16">
        <v>6</v>
      </c>
      <c r="J82" s="2">
        <f t="shared" si="36"/>
        <v>6975</v>
      </c>
      <c r="K82" s="7">
        <f t="shared" si="37"/>
        <v>14850</v>
      </c>
      <c r="L82" s="17">
        <v>46266</v>
      </c>
      <c r="M82" s="11">
        <f t="shared" ref="M82:M83" si="38">IF(OR(C82="كاش", L82=""), "", EDATE(L82, I82))</f>
        <v>46447</v>
      </c>
      <c r="N82" s="21"/>
      <c r="O82" s="14"/>
      <c r="P82" s="14"/>
      <c r="Q82" s="25">
        <f t="shared" si="12"/>
        <v>41850</v>
      </c>
    </row>
    <row r="83" spans="1:17" ht="15.75" x14ac:dyDescent="0.25">
      <c r="A83" s="16" t="s">
        <v>161</v>
      </c>
      <c r="B83" s="22" t="s">
        <v>158</v>
      </c>
      <c r="C83" s="23" t="s">
        <v>20</v>
      </c>
      <c r="D83" s="16">
        <v>17000</v>
      </c>
      <c r="E83" s="16">
        <v>24000</v>
      </c>
      <c r="F83" s="16">
        <v>35</v>
      </c>
      <c r="G83" s="15">
        <f t="shared" si="35"/>
        <v>32400</v>
      </c>
      <c r="H83" s="16"/>
      <c r="I83" s="16">
        <v>6</v>
      </c>
      <c r="J83" s="2">
        <f t="shared" si="36"/>
        <v>5400</v>
      </c>
      <c r="K83" s="7">
        <f t="shared" si="37"/>
        <v>15400</v>
      </c>
      <c r="L83" s="17">
        <v>46268</v>
      </c>
      <c r="M83" s="11">
        <f t="shared" si="38"/>
        <v>46449</v>
      </c>
      <c r="N83" s="21"/>
      <c r="O83" s="14"/>
      <c r="P83" s="14"/>
      <c r="Q83" s="25">
        <f t="shared" si="12"/>
        <v>32400</v>
      </c>
    </row>
    <row r="84" spans="1:17" ht="15.75" x14ac:dyDescent="0.25">
      <c r="A84" s="16" t="s">
        <v>159</v>
      </c>
      <c r="B84" s="22" t="s">
        <v>160</v>
      </c>
      <c r="C84" s="23" t="s">
        <v>27</v>
      </c>
      <c r="D84" s="16"/>
      <c r="E84" s="16">
        <v>45000</v>
      </c>
      <c r="F84" s="16"/>
      <c r="G84" s="15"/>
      <c r="H84" s="16"/>
      <c r="I84" s="16"/>
      <c r="J84" s="2" t="str">
        <f t="shared" si="36"/>
        <v/>
      </c>
      <c r="K84" s="7" t="str">
        <f t="shared" si="37"/>
        <v/>
      </c>
      <c r="L84" s="17">
        <v>46268</v>
      </c>
      <c r="M84" s="11"/>
      <c r="N84" s="21"/>
      <c r="O84" s="14"/>
      <c r="P84" s="14"/>
      <c r="Q84" s="25">
        <f t="shared" si="12"/>
        <v>45000</v>
      </c>
    </row>
    <row r="85" spans="1:17" ht="15.75" x14ac:dyDescent="0.25">
      <c r="A85" s="16" t="s">
        <v>94</v>
      </c>
      <c r="B85" s="22" t="s">
        <v>163</v>
      </c>
      <c r="C85" s="23" t="s">
        <v>27</v>
      </c>
      <c r="D85" s="16">
        <v>31000</v>
      </c>
      <c r="E85" s="16">
        <v>32000</v>
      </c>
      <c r="F85" s="16"/>
      <c r="G85" s="15"/>
      <c r="H85" s="16"/>
      <c r="I85" s="16"/>
      <c r="J85" s="2" t="str">
        <f t="shared" si="36"/>
        <v/>
      </c>
      <c r="K85" s="7" t="str">
        <f t="shared" si="37"/>
        <v/>
      </c>
      <c r="L85" s="17">
        <v>46268</v>
      </c>
      <c r="M85" s="11"/>
      <c r="N85" s="21"/>
      <c r="O85" s="14"/>
      <c r="P85" s="14"/>
      <c r="Q85" s="25">
        <f t="shared" si="12"/>
        <v>32000</v>
      </c>
    </row>
    <row r="86" spans="1:17" ht="15.75" x14ac:dyDescent="0.25">
      <c r="A86" s="16" t="s">
        <v>162</v>
      </c>
      <c r="B86" s="22" t="s">
        <v>164</v>
      </c>
      <c r="C86" s="23" t="s">
        <v>27</v>
      </c>
      <c r="D86" s="16">
        <v>28000</v>
      </c>
      <c r="E86" s="16">
        <v>32000</v>
      </c>
      <c r="F86" s="16"/>
      <c r="G86" s="15"/>
      <c r="H86" s="16"/>
      <c r="I86" s="16"/>
      <c r="J86" s="2" t="str">
        <f t="shared" si="36"/>
        <v/>
      </c>
      <c r="K86" s="7" t="str">
        <f t="shared" si="37"/>
        <v/>
      </c>
      <c r="L86" s="17">
        <v>46268</v>
      </c>
      <c r="M86" s="11"/>
      <c r="N86" s="21"/>
      <c r="O86" s="14"/>
      <c r="P86" s="14"/>
      <c r="Q86" s="25"/>
    </row>
    <row r="87" spans="1:17" ht="15.75" x14ac:dyDescent="0.25">
      <c r="A87" s="16" t="s">
        <v>165</v>
      </c>
      <c r="B87" s="22" t="s">
        <v>166</v>
      </c>
      <c r="C87" s="23"/>
      <c r="D87" s="16">
        <v>47000</v>
      </c>
      <c r="E87" s="16">
        <v>53000</v>
      </c>
      <c r="F87" s="16"/>
      <c r="G87" s="15"/>
      <c r="H87" s="16"/>
      <c r="I87" s="16"/>
      <c r="J87" s="2" t="str">
        <f t="shared" si="36"/>
        <v/>
      </c>
      <c r="K87" s="7" t="str">
        <f t="shared" si="37"/>
        <v/>
      </c>
      <c r="L87" s="17">
        <v>46268</v>
      </c>
      <c r="M87" s="11"/>
      <c r="N87" s="21"/>
      <c r="O87" s="14"/>
      <c r="P87" s="14"/>
      <c r="Q87" s="25"/>
    </row>
    <row r="88" spans="1:17" ht="15.75" x14ac:dyDescent="0.25">
      <c r="A88" s="16" t="s">
        <v>167</v>
      </c>
      <c r="B88" s="22" t="s">
        <v>149</v>
      </c>
      <c r="C88" s="23" t="s">
        <v>20</v>
      </c>
      <c r="D88" s="16">
        <v>20000</v>
      </c>
      <c r="E88" s="16">
        <v>22000</v>
      </c>
      <c r="F88" s="16">
        <v>30</v>
      </c>
      <c r="G88" s="15">
        <f t="shared" ref="G88" si="39">IF(E88="","",E88*F88/100+E88-H88)</f>
        <v>28600</v>
      </c>
      <c r="H88" s="16"/>
      <c r="I88" s="16">
        <v>6</v>
      </c>
      <c r="J88" s="2">
        <f t="shared" ref="J88" si="40">IF(I88="","",G88/I88)</f>
        <v>4766.666666666667</v>
      </c>
      <c r="K88" s="7">
        <f t="shared" ref="K88" si="41">IF(G88="","",G88+H88-D88)</f>
        <v>8600</v>
      </c>
      <c r="L88" s="17">
        <v>46268</v>
      </c>
      <c r="M88" s="11">
        <f t="shared" ref="M88" si="42">IF(OR(C88="كاش", L88=""), "", EDATE(L88, I88))</f>
        <v>46449</v>
      </c>
      <c r="N88" s="21"/>
      <c r="O88" s="14"/>
      <c r="P88" s="14"/>
      <c r="Q88" s="25"/>
    </row>
    <row r="89" spans="1:17" ht="15.75" x14ac:dyDescent="0.25">
      <c r="A89" s="16" t="s">
        <v>56</v>
      </c>
      <c r="B89" s="22" t="s">
        <v>168</v>
      </c>
      <c r="C89" s="23" t="s">
        <v>20</v>
      </c>
      <c r="D89" s="16">
        <v>15000</v>
      </c>
      <c r="E89" s="16">
        <v>19000</v>
      </c>
      <c r="F89" s="16">
        <v>35</v>
      </c>
      <c r="G89" s="15">
        <v>25650</v>
      </c>
      <c r="H89" s="16"/>
      <c r="I89" s="16">
        <v>6</v>
      </c>
      <c r="J89" s="2">
        <v>4275</v>
      </c>
      <c r="K89" s="7"/>
      <c r="L89" s="17"/>
      <c r="M89" s="11"/>
      <c r="N89" s="21"/>
      <c r="O89" s="14"/>
      <c r="P89" s="14"/>
      <c r="Q89" s="25"/>
    </row>
    <row r="90" spans="1:17" ht="15.75" x14ac:dyDescent="0.25">
      <c r="A90" s="16"/>
      <c r="B90" s="22"/>
      <c r="C90" s="23"/>
      <c r="D90" s="16"/>
      <c r="E90" s="16"/>
      <c r="F90" s="16"/>
      <c r="G90" s="15"/>
      <c r="H90" s="16"/>
      <c r="I90" s="16"/>
      <c r="J90" s="2"/>
      <c r="K90" s="7"/>
      <c r="L90" s="17"/>
      <c r="M90" s="11"/>
      <c r="N90" s="21"/>
      <c r="O90" s="14"/>
      <c r="P90" s="14"/>
      <c r="Q90" s="25"/>
    </row>
    <row r="91" spans="1:17" ht="15.75" x14ac:dyDescent="0.25">
      <c r="A91" s="16"/>
      <c r="B91" s="22"/>
      <c r="C91" s="23"/>
      <c r="D91" s="16"/>
      <c r="E91" s="16"/>
      <c r="F91" s="16"/>
      <c r="G91" s="15"/>
      <c r="H91" s="16"/>
      <c r="I91" s="16"/>
      <c r="J91" s="2"/>
      <c r="K91" s="7"/>
      <c r="L91" s="17"/>
      <c r="M91" s="11"/>
      <c r="N91" s="21"/>
      <c r="O91" s="14"/>
      <c r="P91" s="14"/>
      <c r="Q91" s="25"/>
    </row>
  </sheetData>
  <mergeCells count="13">
    <mergeCell ref="N6:P6"/>
    <mergeCell ref="N1:P1"/>
    <mergeCell ref="N5:P5"/>
    <mergeCell ref="N9:P9"/>
    <mergeCell ref="N10:P10"/>
    <mergeCell ref="N2:P2"/>
    <mergeCell ref="N21:P21"/>
    <mergeCell ref="N22:P22"/>
    <mergeCell ref="N13:P13"/>
    <mergeCell ref="N14:P14"/>
    <mergeCell ref="N17:P17"/>
    <mergeCell ref="N18:P18"/>
    <mergeCell ref="N19:P19"/>
  </mergeCells>
  <dataValidations xWindow="936" yWindow="724" count="13">
    <dataValidation type="list" allowBlank="1" showInputMessage="1" showErrorMessage="1" promptTitle="تنبيه!" prompt="هذه الخلية مخصصة للتقسيط فقط" sqref="F1 F3:F12 F14:F20 F22 F24:F91" xr:uid="{1A1A4290-1D9E-4C63-966D-B68876EA780E}">
      <formula1>"25,30,35,40,45"</formula1>
    </dataValidation>
    <dataValidation type="list" allowBlank="1" showInputMessage="1" showErrorMessage="1" promptTitle="تنبيه!" prompt="هذه الخلية مخصصة للتقسيط فقط" sqref="F2" xr:uid="{AE3E5674-853E-4488-8566-133BECC41BD8}">
      <formula1>"0,15,25,35,40,45"</formula1>
    </dataValidation>
    <dataValidation type="list" allowBlank="1" showInputMessage="1" showErrorMessage="1" promptTitle="تنبيه!" prompt="هذه الخلية مخصصة للتقسيط فقط" sqref="F13 F21" xr:uid="{2BAD854D-9571-47D8-955D-FEF02F1EC23D}">
      <formula1>"25,30,35,40,45,50"</formula1>
    </dataValidation>
    <dataValidation allowBlank="1" showInputMessage="1" errorTitle="Akrem Mobile" error="لا يمكن إستعمال هذه الخانة لانك اخترت بالفعل في التصنيف كاش." promptTitle="تنبيه!" prompt="هذه الخلية مخصصة للتقسيط فقط" sqref="M2:M91" xr:uid="{9C56A941-9660-419D-A8AD-58D76B965BE8}"/>
    <dataValidation allowBlank="1" showInputMessage="1" showErrorMessage="1" promptTitle="تنبيه!" prompt="هذه الخلية مخصصة للتقسيط فقط" sqref="H2:H91" xr:uid="{4144DB84-555F-448C-8560-C80254808834}"/>
    <dataValidation allowBlank="1" showInputMessage="1" showErrorMessage="1" promptTitle="تنبيه!" prompt="هذه الخلاية مقيدة وتعمل تلقائياً" sqref="G2:G91 J2:K91" xr:uid="{1B5F082F-E9A4-44A0-B34B-C4297D37DE2C}"/>
    <dataValidation type="list" allowBlank="1" showInputMessage="1" showErrorMessage="1" promptTitle="تنبيه!" prompt="هذه الخلية مخصصة للتقسيط فقط" sqref="I48:I64 I2:I22 I24:I46" xr:uid="{72F10CCA-7222-42D8-86B2-9CBC39704EBE}">
      <formula1>"2 , 4 , 6 , 10 , 12"</formula1>
    </dataValidation>
    <dataValidation type="list" allowBlank="1" showInputMessage="1" showErrorMessage="1" sqref="C2:C91" xr:uid="{D1C93250-FF55-4D2C-9B93-BAD7E83ECCFC}">
      <formula1>"كاش,بالتقسيط,كريدي"</formula1>
    </dataValidation>
    <dataValidation type="list" allowBlank="1" showInputMessage="1" showErrorMessage="1" promptTitle="تنبيه!" prompt="هذه الخلية مخصصة للتقسيط فقط" sqref="I47" xr:uid="{8D20FA30-911D-4905-A5BE-DD1FF21B9B00}">
      <formula1>"2 , 4 , 5 ,  6 , 10 , 12"</formula1>
    </dataValidation>
    <dataValidation type="list" allowBlank="1" showInputMessage="1" showErrorMessage="1" promptTitle="تنبيه!" prompt="هذه الخلية مخصصة للتقسيط فقط" sqref="I65" xr:uid="{E0B32AB5-D7C4-45AF-8854-E32B5CD5C9EF}">
      <formula1>"2 , 5 , 4 , 6 , 10 , 12"</formula1>
    </dataValidation>
    <dataValidation type="list" allowBlank="1" showInputMessage="1" showErrorMessage="1" promptTitle="تنبيه!" prompt="هذه الخلية مخصصة للتقسيط فقط" sqref="I66:I91" xr:uid="{3EAB8E4C-DB83-466F-97DC-38B8E550994D}">
      <formula1>"2 , 5 , 4 , 6 , 7 , 10 , 12"</formula1>
    </dataValidation>
    <dataValidation type="list" allowBlank="1" showInputMessage="1" showErrorMessage="1" promptTitle="تنبيه!" prompt="هذه الخلية مخصصة للتقسيط فقط" sqref="F23" xr:uid="{5DE84DCC-F117-4190-86C5-9F78DFEB10A9}">
      <formula1>"10,25,30,35,40,45"</formula1>
    </dataValidation>
    <dataValidation type="list" allowBlank="1" showInputMessage="1" showErrorMessage="1" promptTitle="تنبيه!" prompt="هذه الخلية مخصصة للتقسيط فقط" sqref="I23" xr:uid="{852721BA-1B47-4D50-9BAB-BA2237902AA0}">
      <formula1>"2 , 3 , 4 , 6 , 10 , 12"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التقسيط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Akrem Mobile</cp:lastModifiedBy>
  <dcterms:created xsi:type="dcterms:W3CDTF">2026-06-04T04:06:16Z</dcterms:created>
  <dcterms:modified xsi:type="dcterms:W3CDTF">2026-09-29T00:14:59Z</dcterms:modified>
</cp:coreProperties>
</file>